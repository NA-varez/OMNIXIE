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TOTYPE BOM v0.1" sheetId="1" state="visible" r:id="rId3"/>
    <sheet name="PROTOTYPE BOM v0.2" sheetId="2" state="visible" r:id="rId4"/>
    <sheet name="PRODUCTION BOM" sheetId="3" state="visible" r:id="rId5"/>
    <sheet name="CH32V003F4U6 PIN FUNCTIONS" sheetId="4" state="visible" r:id="rId6"/>
    <sheet name="CNIXXI VS OMNIXIE PINOUT" sheetId="5" state="visible" r:id="rId7"/>
    <sheet name="COST ESTIMATES" sheetId="6" state="visible" r:id="rId8"/>
    <sheet name="ARCHIV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<sst xmlns="http://schemas.openxmlformats.org/spreadsheetml/2006/main" count="731" uniqueCount="269">
  <si>
    <t xml:space="preserve">BOM</t>
  </si>
  <si>
    <t xml:space="preserve">OMNIXIE</t>
  </si>
  <si>
    <t xml:space="preserve">SCH</t>
  </si>
  <si>
    <t xml:space="preserve">PCB</t>
  </si>
  <si>
    <t xml:space="preserve">Designer: NA Design</t>
  </si>
  <si>
    <t xml:space="preserve">DATE</t>
  </si>
  <si>
    <t xml:space="preserve">PROCURED</t>
  </si>
  <si>
    <t xml:space="preserve">TO BUY</t>
  </si>
  <si>
    <t xml:space="preserve">Categories</t>
  </si>
  <si>
    <t xml:space="preserve">Qty</t>
  </si>
  <si>
    <t xml:space="preserve">MPN</t>
  </si>
  <si>
    <t xml:space="preserve">Ref Des</t>
  </si>
  <si>
    <t xml:space="preserve">Value</t>
  </si>
  <si>
    <t xml:space="preserve">DNP</t>
  </si>
  <si>
    <t xml:space="preserve">Description</t>
  </si>
  <si>
    <t xml:space="preserve">Footprint/Package</t>
  </si>
  <si>
    <t xml:space="preserve">Manufacturer</t>
  </si>
  <si>
    <t xml:space="preserve">Distributor</t>
  </si>
  <si>
    <t xml:space="preserve">Link</t>
  </si>
  <si>
    <t xml:space="preserve">ICs/Modules</t>
  </si>
  <si>
    <t xml:space="preserve">CH32V003F4U6</t>
  </si>
  <si>
    <t xml:space="preserve">U1</t>
  </si>
  <si>
    <t xml:space="preserve">-</t>
  </si>
  <si>
    <t xml:space="preserve">QingKe V2 Microprocessor</t>
  </si>
  <si>
    <t xml:space="preserve">Package_DFN_QFN:QFN-20-1EP_3x3mm_P0.4mm_EP1.65x1.65mm</t>
  </si>
  <si>
    <t xml:space="preserve">PI4IOE5V6416ZDEX</t>
  </si>
  <si>
    <t xml:space="preserve">U3</t>
  </si>
  <si>
    <t xml:space="preserve">I/O Expander 16 I2C 400 kHz 24-TQFN (4x4)</t>
  </si>
  <si>
    <t xml:space="preserve">Package_DFN_QFN:TQFN-24-1EP_4x4mm_P0.5mm_EP2.1x2.1mm_ThermalVias</t>
  </si>
  <si>
    <t xml:space="preserve">XC6206P332MR</t>
  </si>
  <si>
    <t xml:space="preserve">U4</t>
  </si>
  <si>
    <t xml:space="preserve">IC REG LINEAR 3.3V 200MA SOT23</t>
  </si>
  <si>
    <t xml:space="preserve">Package_TO_SOT_SMD:SOT-23-3</t>
  </si>
  <si>
    <t xml:space="preserve">Connections</t>
  </si>
  <si>
    <t xml:space="preserve">USB4120-03-C</t>
  </si>
  <si>
    <t xml:space="preserve">J4</t>
  </si>
  <si>
    <t xml:space="preserve">USB Connectors USB Type C,2.0, Rec,SMT, 0.95mmTH Shell Stakes,G/F,RA,Top Mnt,T&amp;R</t>
  </si>
  <si>
    <t xml:space="preserve">J1,J6</t>
  </si>
  <si>
    <t xml:space="preserve">2.54mm Pitch Pin Headers</t>
  </si>
  <si>
    <t xml:space="preserve">TP6,TP8,TP10,TP11,TP12,TP13,TP14</t>
  </si>
  <si>
    <t xml:space="preserve">Test Plugs &amp; Test Jacks TEST POINT RED .063 </t>
  </si>
  <si>
    <t xml:space="preserve">TestPoint:TestPoint_Keystone_5005-5009_Compact</t>
  </si>
  <si>
    <t xml:space="preserve">IL-WX-16S-VF-B-E1000E</t>
  </si>
  <si>
    <t xml:space="preserve">J8</t>
  </si>
  <si>
    <t xml:space="preserve">0.8 mm pitch, SMT, parallel/ vertical, Board-to-board Connector, 16 pos., Socket receptacle</t>
  </si>
  <si>
    <t xml:space="preserve">Semiconductors</t>
  </si>
  <si>
    <t xml:space="preserve">IPN50R1K4CEATMA1 </t>
  </si>
  <si>
    <t xml:space="preserve">Q12</t>
  </si>
  <si>
    <t xml:space="preserve">MOSFETs CONSUMER</t>
  </si>
  <si>
    <t xml:space="preserve">Package_TO_SOT_SMD:SOT-223-3_TabPin2</t>
  </si>
  <si>
    <t xml:space="preserve">BSS123</t>
  </si>
  <si>
    <t xml:space="preserve">Q0,Q1,Q2,Q3,Q4,Q5,Q6,Q7,Q8,Q9,Q10,Q11</t>
  </si>
  <si>
    <t xml:space="preserve">MOSFET, N-CH, SINGLE, 0.19A, 100</t>
  </si>
  <si>
    <t xml:space="preserve">SK3200AFL-TP</t>
  </si>
  <si>
    <t xml:space="preserve">D1</t>
  </si>
  <si>
    <t xml:space="preserve">Schottky Diodes &amp; Rectifiers 3A 200Vr 140Vrms 200V 80A 0.86Vf</t>
  </si>
  <si>
    <t xml:space="preserve">OMNIXIE:SK3200AFL</t>
  </si>
  <si>
    <t xml:space="preserve">150060GS73220</t>
  </si>
  <si>
    <t xml:space="preserve">D2, D3</t>
  </si>
  <si>
    <t xml:space="preserve">Green 525nm LED Indication - Discrete 3.2V 0603 (1608 Metric)</t>
  </si>
  <si>
    <t xml:space="preserve">LED_SMD:LED_0603_1608Metric</t>
  </si>
  <si>
    <t xml:space="preserve">Capacitors/Resistors</t>
  </si>
  <si>
    <t xml:space="preserve">GRM21BR71A106MA73K </t>
  </si>
  <si>
    <t xml:space="preserve">C1</t>
  </si>
  <si>
    <t xml:space="preserve">10uF</t>
  </si>
  <si>
    <t xml:space="preserve">Multilayer Ceramic Capacitors MLCC - SMD/SMT 10 uF 10 VDC 20% 0805 X7R </t>
  </si>
  <si>
    <t xml:space="preserve">_0805</t>
  </si>
  <si>
    <t xml:space="preserve">GRM43DR7LV224KW01L </t>
  </si>
  <si>
    <t xml:space="preserve">C2</t>
  </si>
  <si>
    <t xml:space="preserve">0.22uF</t>
  </si>
  <si>
    <t xml:space="preserve">Multilayer Ceramic Capacitors MLCC - SMD/SMT 0.22 uF 630 VDC 10% 1812 X7R </t>
  </si>
  <si>
    <t xml:space="preserve">CL10B105KA8NFNC</t>
  </si>
  <si>
    <t xml:space="preserve">C3, C4, C5</t>
  </si>
  <si>
    <t xml:space="preserve">1uF</t>
  </si>
  <si>
    <t xml:space="preserve">1 µF ±10% 25V Ceramic Capacitor X7R 0603 (1608 Metric)</t>
  </si>
  <si>
    <t xml:space="preserve">PA0603FRE570R01L</t>
  </si>
  <si>
    <t xml:space="preserve">R3,R5</t>
  </si>
  <si>
    <t xml:space="preserve">10m</t>
  </si>
  <si>
    <t xml:space="preserve">10 mOhms ±1% 0.5W, 1/2W Chip Resistor 0603 (1608 Metric) Automotive AEC-Q200, Current Sense, Moisture Resistant Metal Element</t>
  </si>
  <si>
    <t xml:space="preserve">_0603</t>
  </si>
  <si>
    <t xml:space="preserve">R10,R16</t>
  </si>
  <si>
    <t xml:space="preserve">10k</t>
  </si>
  <si>
    <t xml:space="preserve">RC2010JK-0715KL </t>
  </si>
  <si>
    <t xml:space="preserve">R6</t>
  </si>
  <si>
    <t xml:space="preserve">15k</t>
  </si>
  <si>
    <t xml:space="preserve">Thick Film Resistors - SMD General Purpose Chip Resistor 2010, 15kOhms, 5%, 3/4W </t>
  </si>
  <si>
    <t xml:space="preserve">RC0402FR-07100KL</t>
  </si>
  <si>
    <t xml:space="preserve">R7</t>
  </si>
  <si>
    <t xml:space="preserve">100k</t>
  </si>
  <si>
    <t xml:space="preserve">100 kOhms ±1% 0.063W, 1/16W Chip Resistor 0402 (1005 Metric) Moisture Resistant Thick Film</t>
  </si>
  <si>
    <t xml:space="preserve">R8,R9</t>
  </si>
  <si>
    <t xml:space="preserve">Thick Film Resistors - SMD WRIS-RSKS 47 Ohms 5 % 0.1 W 0402 AEC-Q200 </t>
  </si>
  <si>
    <t xml:space="preserve">RK73H1JTTD1001F</t>
  </si>
  <si>
    <t xml:space="preserve">R11,R12</t>
  </si>
  <si>
    <t xml:space="preserve">1k</t>
  </si>
  <si>
    <t xml:space="preserve">1 kOhms ±1% 0.125W, 1/8W Chip Resistor 0603 (1608 Metric) Automotive AEC-Q200 Thick Film</t>
  </si>
  <si>
    <t xml:space="preserve">CR0603-FX-5101ELF </t>
  </si>
  <si>
    <t xml:space="preserve">R13,R14</t>
  </si>
  <si>
    <t xml:space="preserve">5.1k</t>
  </si>
  <si>
    <t xml:space="preserve">Thick Film Resistors - SMD 5.1K ohm 1% </t>
  </si>
  <si>
    <t xml:space="preserve">CRCW04021K50JNEDC </t>
  </si>
  <si>
    <t xml:space="preserve">R15</t>
  </si>
  <si>
    <t xml:space="preserve">1.5k</t>
  </si>
  <si>
    <t xml:space="preserve">Thick Film Resistors - SMD 1/16watt 1.5Kohms 5% Commercial Use </t>
  </si>
  <si>
    <t xml:space="preserve">Other</t>
  </si>
  <si>
    <t xml:space="preserve">ATB322515-0110 </t>
  </si>
  <si>
    <t xml:space="preserve">T1</t>
  </si>
  <si>
    <t xml:space="preserve">Audio Transformers / Signal Transformers Photoflash Capacitor Charging Transforme</t>
  </si>
  <si>
    <t xml:space="preserve">For Later Use</t>
  </si>
  <si>
    <t xml:space="preserve">BM03B-SRSS-TB</t>
  </si>
  <si>
    <t xml:space="preserve">SM04B-SRSS-TB</t>
  </si>
  <si>
    <t xml:space="preserve">J2, J3</t>
  </si>
  <si>
    <t xml:space="preserve">Connector Header Surface Mount, Right Angle 4 position 0.039" (1.00mm)</t>
  </si>
  <si>
    <t xml:space="preserve">IL-WX-16PB-VF-B-E1000E</t>
  </si>
  <si>
    <t xml:space="preserve">0.8 mm pitch, SMT, parallel/ vertical, Board-to-board Connector, 16 pos., Pin header</t>
  </si>
  <si>
    <t xml:space="preserve">RK0971114D0B</t>
  </si>
  <si>
    <t xml:space="preserve">potentiometer</t>
  </si>
  <si>
    <t xml:space="preserve">J6,J7</t>
  </si>
  <si>
    <t xml:space="preserve">Capacitor_SMD:C_0805_2012Metric</t>
  </si>
  <si>
    <t xml:space="preserve">Capacitor_SMD:C_1210_3225Metric</t>
  </si>
  <si>
    <t xml:space="preserve">Capacitor_SMD:C_0603_1608Metric</t>
  </si>
  <si>
    <t xml:space="preserve">Resistor_SMD:R_0603_1608Metric</t>
  </si>
  <si>
    <t xml:space="preserve">Resistor_SMD:R_2010_5025Metric</t>
  </si>
  <si>
    <t xml:space="preserve">Resistor_SMD:R_0402_1005Metric_Pad0.72x0.64mm_HandSolder</t>
  </si>
  <si>
    <t xml:space="preserve">KEY</t>
  </si>
  <si>
    <t xml:space="preserve">PIN</t>
  </si>
  <si>
    <t xml:space="preserve">PORT</t>
  </si>
  <si>
    <t xml:space="preserve">FUNCTIONS</t>
  </si>
  <si>
    <t xml:space="preserve">USB</t>
  </si>
  <si>
    <t xml:space="preserve">A: ADC, A7 (ADC_IN7)</t>
  </si>
  <si>
    <t xml:space="preserve">PD7</t>
  </si>
  <si>
    <t xml:space="preserve">NRST</t>
  </si>
  <si>
    <t xml:space="preserve">T2CH4</t>
  </si>
  <si>
    <t xml:space="preserve">OPP1</t>
  </si>
  <si>
    <t xml:space="preserve">UCK</t>
  </si>
  <si>
    <t xml:space="preserve">T: TIME, T2CH4 (TIM2_CH4)</t>
  </si>
  <si>
    <t xml:space="preserve">PA1</t>
  </si>
  <si>
    <t xml:space="preserve">OSCI</t>
  </si>
  <si>
    <t xml:space="preserve">A1</t>
  </si>
  <si>
    <t xml:space="preserve">T1CH2</t>
  </si>
  <si>
    <t xml:space="preserve">OPN0</t>
  </si>
  <si>
    <t xml:space="preserve">U: USART, URX (USART_RX)</t>
  </si>
  <si>
    <t xml:space="preserve">PA2</t>
  </si>
  <si>
    <t xml:space="preserve">OSCO</t>
  </si>
  <si>
    <t xml:space="preserve">A0</t>
  </si>
  <si>
    <t xml:space="preserve">T1CH2N</t>
  </si>
  <si>
    <t xml:space="preserve">OPP0</t>
  </si>
  <si>
    <t xml:space="preserve">AETR2</t>
  </si>
  <si>
    <t xml:space="preserve">OP: OPA, OPO (OPA_OUT), OPP1 (OPA_P1)</t>
  </si>
  <si>
    <t xml:space="preserve">VSS</t>
  </si>
  <si>
    <t xml:space="preserve">OSCI (OSCIN)</t>
  </si>
  <si>
    <t xml:space="preserve">PD0</t>
  </si>
  <si>
    <t xml:space="preserve">T1CH1N</t>
  </si>
  <si>
    <t xml:space="preserve">OPN1</t>
  </si>
  <si>
    <t xml:space="preserve">SDA</t>
  </si>
  <si>
    <t xml:space="preserve">UTX</t>
  </si>
  <si>
    <t xml:space="preserve">OSCO (OSCOUT)</t>
  </si>
  <si>
    <t xml:space="preserve">VDD</t>
  </si>
  <si>
    <t xml:space="preserve">SDA (I2C_SDA)</t>
  </si>
  <si>
    <t xml:space="preserve">PC0</t>
  </si>
  <si>
    <t xml:space="preserve">T2CH3</t>
  </si>
  <si>
    <t xml:space="preserve">NSS</t>
  </si>
  <si>
    <t xml:space="preserve">T1CH3</t>
  </si>
  <si>
    <t xml:space="preserve">SCL (I2C_SCL)</t>
  </si>
  <si>
    <t xml:space="preserve">PC1</t>
  </si>
  <si>
    <t xml:space="preserve">T2CH1ETR</t>
  </si>
  <si>
    <t xml:space="preserve">T1BKIN</t>
  </si>
  <si>
    <t xml:space="preserve">URX</t>
  </si>
  <si>
    <t xml:space="preserve">SCK (SPI_SCK)</t>
  </si>
  <si>
    <t xml:space="preserve">PC2</t>
  </si>
  <si>
    <t xml:space="preserve">SCL</t>
  </si>
  <si>
    <t xml:space="preserve">URTS</t>
  </si>
  <si>
    <t xml:space="preserve">AETR</t>
  </si>
  <si>
    <t xml:space="preserve">T2CH2</t>
  </si>
  <si>
    <t xml:space="preserve">T1ETR</t>
  </si>
  <si>
    <t xml:space="preserve">NSS (SPI_NSS)</t>
  </si>
  <si>
    <t xml:space="preserve">PC3</t>
  </si>
  <si>
    <t xml:space="preserve">T1CHIN</t>
  </si>
  <si>
    <t xml:space="preserve">UCTS</t>
  </si>
  <si>
    <t xml:space="preserve">MOSI (SPI_MOSI)</t>
  </si>
  <si>
    <t xml:space="preserve">PC4</t>
  </si>
  <si>
    <t xml:space="preserve">A2</t>
  </si>
  <si>
    <t xml:space="preserve">T1CH4</t>
  </si>
  <si>
    <t xml:space="preserve">MCO</t>
  </si>
  <si>
    <t xml:space="preserve">T1CH1CH2N</t>
  </si>
  <si>
    <t xml:space="preserve">MISO (SPI_MISO)</t>
  </si>
  <si>
    <t xml:space="preserve">PC5</t>
  </si>
  <si>
    <t xml:space="preserve">SCK</t>
  </si>
  <si>
    <t xml:space="preserve">AETR(ADC_ETR): ADC EXTRA</t>
  </si>
  <si>
    <t xml:space="preserve">PC6</t>
  </si>
  <si>
    <t xml:space="preserve">MOSI</t>
  </si>
  <si>
    <t xml:space="preserve">T1CH1CH3</t>
  </si>
  <si>
    <t xml:space="preserve">PC7</t>
  </si>
  <si>
    <t xml:space="preserve">MISO</t>
  </si>
  <si>
    <t xml:space="preserve">PD1</t>
  </si>
  <si>
    <t xml:space="preserve">SWIO</t>
  </si>
  <si>
    <t xml:space="preserve">PD2</t>
  </si>
  <si>
    <t xml:space="preserve">A3</t>
  </si>
  <si>
    <t xml:space="preserve">T1CH1</t>
  </si>
  <si>
    <t xml:space="preserve">PD3</t>
  </si>
  <si>
    <t xml:space="preserve">A4</t>
  </si>
  <si>
    <t xml:space="preserve">D+</t>
  </si>
  <si>
    <t xml:space="preserve">PD4</t>
  </si>
  <si>
    <t xml:space="preserve">A7</t>
  </si>
  <si>
    <t xml:space="preserve">OPO</t>
  </si>
  <si>
    <t xml:space="preserve">T1CH4ETR</t>
  </si>
  <si>
    <t xml:space="preserve">D-</t>
  </si>
  <si>
    <t xml:space="preserve">PD5</t>
  </si>
  <si>
    <t xml:space="preserve">A5</t>
  </si>
  <si>
    <t xml:space="preserve">DPU</t>
  </si>
  <si>
    <t xml:space="preserve">PD6</t>
  </si>
  <si>
    <t xml:space="preserve">https://github.com/cnlohr/rv003usb</t>
  </si>
  <si>
    <t xml:space="preserve">https://github.com/cnlohr/ch32fun</t>
  </si>
  <si>
    <t xml:space="preserve">https://github.com/cnlohr/cnixxi</t>
  </si>
  <si>
    <t xml:space="preserve">https://threeneurons.wordpress.com/nixie-power-supply/</t>
  </si>
  <si>
    <t xml:space="preserve">USB just requires that D+ D- and DPU are on the same port</t>
  </si>
  <si>
    <t xml:space="preserve">CNIXXI</t>
  </si>
  <si>
    <t xml:space="preserve">DIG_AUX</t>
  </si>
  <si>
    <t xml:space="preserve">PINNED OUT</t>
  </si>
  <si>
    <t xml:space="preserve">HV_CTL</t>
  </si>
  <si>
    <t xml:space="preserve">FLOATING</t>
  </si>
  <si>
    <t xml:space="preserve">GND</t>
  </si>
  <si>
    <t xml:space="preserve">DIG_DOT</t>
  </si>
  <si>
    <t xml:space="preserve">5V</t>
  </si>
  <si>
    <t xml:space="preserve">3.3V</t>
  </si>
  <si>
    <t xml:space="preserve">DIG_0</t>
  </si>
  <si>
    <t xml:space="preserve">DIG_1</t>
  </si>
  <si>
    <t xml:space="preserve">DIG_2</t>
  </si>
  <si>
    <t xml:space="preserve">DIG_3</t>
  </si>
  <si>
    <t xml:space="preserve">SDL</t>
  </si>
  <si>
    <t xml:space="preserve">DIG_4</t>
  </si>
  <si>
    <t xml:space="preserve">DIG_5</t>
  </si>
  <si>
    <t xml:space="preserve">DIG_6</t>
  </si>
  <si>
    <t xml:space="preserve">DIG_7</t>
  </si>
  <si>
    <t xml:space="preserve">PGM</t>
  </si>
  <si>
    <t xml:space="preserve">DIG_8</t>
  </si>
  <si>
    <t xml:space="preserve">DIG_9</t>
  </si>
  <si>
    <t xml:space="preserve">HVVMON</t>
  </si>
  <si>
    <t xml:space="preserve">Stencil</t>
  </si>
  <si>
    <t xml:space="preserve">Qty 5 (1.25in x 0.75in)</t>
  </si>
  <si>
    <t xml:space="preserve">Shipping</t>
  </si>
  <si>
    <t xml:space="preserve">Total Cost</t>
  </si>
  <si>
    <t xml:space="preserve">PCBWay</t>
  </si>
  <si>
    <t xml:space="preserve">JLCPCB</t>
  </si>
  <si>
    <t xml:space="preserve">OSHPARK</t>
  </si>
  <si>
    <t xml:space="preserve">N/A</t>
  </si>
  <si>
    <t xml:space="preserve">OSHSTENCIL</t>
  </si>
  <si>
    <t xml:space="preserve">BSS131H6327XTSA1 </t>
  </si>
  <si>
    <t xml:space="preserve">MOSFETs N-Ch 240V 100mA SOT-23-3 </t>
  </si>
  <si>
    <t xml:space="preserve">Coin Cell Battery Holders COIN CELL HOLDER 12MM</t>
  </si>
  <si>
    <t xml:space="preserve">SN75468DR</t>
  </si>
  <si>
    <t xml:space="preserve">Buy bulk from Adafruit</t>
  </si>
  <si>
    <t xml:space="preserve">GAN190-650FBEZ</t>
  </si>
  <si>
    <t xml:space="preserve">GaN FETs SOT8075 650V 11.5A FET</t>
  </si>
  <si>
    <t xml:space="preserve">https://www.digikey.com/en/products/detail/koa-speer-electronics-inc/RCUCTE/11476561</t>
  </si>
  <si>
    <t xml:space="preserve">770004-4</t>
  </si>
  <si>
    <t xml:space="preserve">Pin &amp; Socket Connectors SOCKET CONTACT</t>
  </si>
  <si>
    <t xml:space="preserve">bulk</t>
  </si>
  <si>
    <t xml:space="preserve">Qwiic short cables</t>
  </si>
  <si>
    <t xml:space="preserve">Other Stuff To Buy</t>
  </si>
  <si>
    <t xml:space="preserve">ATB3225-75011CT-T001</t>
  </si>
  <si>
    <t xml:space="preserve">Audio Transformers / Signal Transformers 1:1 75ohms 5-200MHz 10dB</t>
  </si>
  <si>
    <t xml:space="preserve">Ferrite Cores &amp; Accessories WE-OEFA LFS Oval Ferrite Core Oval; 25Ohms; 72Ohms Black AEC-Q200</t>
  </si>
  <si>
    <t xml:space="preserve">RK0971114D0B </t>
  </si>
  <si>
    <t xml:space="preserve">Potentiometers Flat 15mm 10k</t>
  </si>
  <si>
    <t xml:space="preserve">02-09-1104</t>
  </si>
  <si>
    <t xml:space="preserve">Pin &amp; Socket Connectors CRIMP SKT BULK 14-20</t>
  </si>
  <si>
    <t xml:space="preserve">IN12-A sockets purchased</t>
  </si>
  <si>
    <t xml:space="preserve">https://www.amazon.com/gp/product/B09D2VQR3Q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</si>
</sst>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General"/>
    <numFmt numFmtId="167" formatCode="0"/>
    <numFmt numFmtId="168" formatCode="_(\$* #,##0.00_);_(\$* \(#,##0.00\);_(\$* \-??_);_(@_)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20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2"/>
      <color theme="0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u val="single"/>
      <sz val="11"/>
      <color theme="10"/>
      <name val="Calibri"/>
      <family val="2"/>
      <charset val="1"/>
    </font>
    <font>
      <u val="single"/>
      <sz val="10"/>
      <color theme="10"/>
      <name val="Arial"/>
      <family val="2"/>
      <charset val="1"/>
    </font>
    <font>
      <u val="single"/>
      <sz val="11"/>
      <color theme="10"/>
      <name val="Arial"/>
      <family val="2"/>
      <charset val="1"/>
    </font>
    <font>
      <b val="true"/>
      <sz val="18"/>
      <color theme="1"/>
      <name val="Calibri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9"/>
        <bgColor rgb="FF92D050"/>
      </patternFill>
    </fill>
    <fill>
      <patternFill patternType="solid">
        <fgColor theme="9" tint="0.7999"/>
        <bgColor rgb="FFDEEBF7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FFF2CC"/>
      </patternFill>
    </fill>
    <fill>
      <patternFill patternType="solid">
        <fgColor theme="7"/>
        <bgColor rgb="FFFF9900"/>
      </patternFill>
    </fill>
    <fill>
      <patternFill patternType="solid">
        <fgColor theme="7" tint="0.7999"/>
        <bgColor rgb="FFFBE5D6"/>
      </patternFill>
    </fill>
    <fill>
      <patternFill patternType="solid">
        <fgColor theme="4"/>
        <bgColor rgb="FF33CCCC"/>
      </patternFill>
    </fill>
    <fill>
      <patternFill patternType="solid">
        <fgColor theme="4" tint="0.7999"/>
        <bgColor rgb="FFE2F0D9"/>
      </patternFill>
    </fill>
    <fill>
      <patternFill patternType="solid">
        <fgColor theme="6"/>
        <bgColor rgb="FF9DC3E6"/>
      </patternFill>
    </fill>
    <fill>
      <patternFill patternType="solid">
        <fgColor theme="2" tint="-0.1"/>
        <bgColor rgb="FFF8CBAD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3999"/>
        <bgColor rgb="FFFFE699"/>
      </patternFill>
    </fill>
    <fill>
      <patternFill patternType="solid">
        <fgColor theme="5" tint="0.5999"/>
        <bgColor rgb="FFFFC7CE"/>
      </patternFill>
    </fill>
    <fill>
      <patternFill patternType="solid">
        <fgColor rgb="FFCC99FF"/>
        <bgColor rgb="FFA5A5A5"/>
      </patternFill>
    </fill>
    <fill>
      <patternFill patternType="solid">
        <fgColor rgb="FF92D050"/>
        <bgColor rgb="FF70AD47"/>
      </patternFill>
    </fill>
    <fill>
      <patternFill patternType="solid">
        <fgColor theme="4" tint="0.3999"/>
        <bgColor rgb="FFD0CECE"/>
      </patternFill>
    </fill>
    <fill>
      <patternFill patternType="solid">
        <fgColor rgb="FFFF0000"/>
        <bgColor rgb="FF993300"/>
      </patternFill>
    </fill>
    <fill>
      <patternFill patternType="solid">
        <fgColor rgb="FF00B050"/>
        <bgColor rgb="FF008080"/>
      </patternFill>
    </fill>
  </fills>
  <borders count="44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double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medium"/>
      <top style="thin"/>
      <bottom style="double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thin"/>
      <top/>
      <bottom style="double"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thin"/>
      <right style="medium"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thin"/>
      <right/>
      <top style="thin"/>
      <bottom style="medium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6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21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6" fillId="0" borderId="2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0" borderId="1" xfId="21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21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5" fillId="0" borderId="1" xfId="21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3" xfId="21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5" fontId="6" fillId="0" borderId="4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1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3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4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4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4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5" borderId="1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5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5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6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9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6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6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6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6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6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6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6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6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7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7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8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8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2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8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8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8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9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1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9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9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9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9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9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0" borderId="19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1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1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0" borderId="19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0" borderId="1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10" borderId="1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9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1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0" fillId="10" borderId="1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1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1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1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1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1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1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1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1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11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2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11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1" borderId="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11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1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2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2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12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2" borderId="1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12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2" borderId="1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12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1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1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1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2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1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2" borderId="1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1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2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12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0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2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2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2" borderId="3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12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12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2" borderId="3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12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6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6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6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6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11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2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2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2" borderId="19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0" fillId="12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2" borderId="1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6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3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6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6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3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6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3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3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5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3" borderId="3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3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8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8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3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5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6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7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6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7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8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8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6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8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5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8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8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13" borderId="4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4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5" borderId="3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6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8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9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3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*unknown*" xfId="20" builtinId="8"/>
  </cellStyles>
  <dxfs count="2"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D966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0AD47"/>
      <rgbColor rgb="FF5B9BD5"/>
      <rgbColor rgb="FF993366"/>
      <rgbColor rgb="FFFFF2CC"/>
      <rgbColor rgb="FFDEEBF7"/>
      <rgbColor rgb="FF660066"/>
      <rgbColor rgb="FFFF8080"/>
      <rgbColor rgb="FF0563C1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6EFCE"/>
      <rgbColor rgb="FFFFE699"/>
      <rgbColor rgb="FF9DC3E6"/>
      <rgbColor rgb="FFFBE5D6"/>
      <rgbColor rgb="FFCC99FF"/>
      <rgbColor rgb="FFF8CBAD"/>
      <rgbColor rgb="FF3366FF"/>
      <rgbColor rgb="FF33CCCC"/>
      <rgbColor rgb="FF92D050"/>
      <rgbColor rgb="FFFFC000"/>
      <rgbColor rgb="FFFF9900"/>
      <rgbColor rgb="FFED7D31"/>
      <rgbColor rgb="FF666699"/>
      <rgbColor rgb="FFA5A5A5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523800</xdr:colOff>
      <xdr:row>1</xdr:row>
      <xdr:rowOff>156960</xdr:rowOff>
    </xdr:from>
    <xdr:to>
      <xdr:col>22</xdr:col>
      <xdr:colOff>89280</xdr:colOff>
      <xdr:row>23</xdr:row>
      <xdr:rowOff>2880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16868160" y="347400"/>
          <a:ext cx="5754600" cy="4663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9360</xdr:colOff>
      <xdr:row>23</xdr:row>
      <xdr:rowOff>66960</xdr:rowOff>
    </xdr:from>
    <xdr:to>
      <xdr:col>22</xdr:col>
      <xdr:colOff>178200</xdr:colOff>
      <xdr:row>47</xdr:row>
      <xdr:rowOff>12960</xdr:rowOff>
    </xdr:to>
    <xdr:pic>
      <xdr:nvPicPr>
        <xdr:cNvPr id="1" name="Picture 2" descr=""/>
        <xdr:cNvPicPr/>
      </xdr:nvPicPr>
      <xdr:blipFill>
        <a:blip r:embed="rId2"/>
        <a:stretch/>
      </xdr:blipFill>
      <xdr:spPr>
        <a:xfrm>
          <a:off x="17041320" y="5075280"/>
          <a:ext cx="5670360" cy="4553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907560</xdr:colOff>
      <xdr:row>25</xdr:row>
      <xdr:rowOff>28440</xdr:rowOff>
    </xdr:from>
    <xdr:to>
      <xdr:col>14</xdr:col>
      <xdr:colOff>135360</xdr:colOff>
      <xdr:row>61</xdr:row>
      <xdr:rowOff>86040</xdr:rowOff>
    </xdr:to>
    <xdr:pic>
      <xdr:nvPicPr>
        <xdr:cNvPr id="2" name="Picture 3" descr=""/>
        <xdr:cNvPicPr/>
      </xdr:nvPicPr>
      <xdr:blipFill>
        <a:blip r:embed="rId3"/>
        <a:stretch/>
      </xdr:blipFill>
      <xdr:spPr>
        <a:xfrm>
          <a:off x="8319960" y="5435640"/>
          <a:ext cx="8847360" cy="69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2375640</xdr:colOff>
      <xdr:row>68</xdr:row>
      <xdr:rowOff>151920</xdr:rowOff>
    </xdr:from>
    <xdr:to>
      <xdr:col>15</xdr:col>
      <xdr:colOff>7560</xdr:colOff>
      <xdr:row>76</xdr:row>
      <xdr:rowOff>65520</xdr:rowOff>
    </xdr:to>
    <xdr:pic>
      <xdr:nvPicPr>
        <xdr:cNvPr id="3" name="Picture 4" descr=""/>
        <xdr:cNvPicPr/>
      </xdr:nvPicPr>
      <xdr:blipFill>
        <a:blip r:embed="rId4"/>
        <a:stretch/>
      </xdr:blipFill>
      <xdr:spPr>
        <a:xfrm>
          <a:off x="3063240" y="13768200"/>
          <a:ext cx="14663880" cy="1437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523800</xdr:colOff>
      <xdr:row>1</xdr:row>
      <xdr:rowOff>162360</xdr:rowOff>
    </xdr:from>
    <xdr:to>
      <xdr:col>24</xdr:col>
      <xdr:colOff>88920</xdr:colOff>
      <xdr:row>23</xdr:row>
      <xdr:rowOff>23760</xdr:rowOff>
    </xdr:to>
    <xdr:pic>
      <xdr:nvPicPr>
        <xdr:cNvPr id="4" name="Picture 1" descr=""/>
        <xdr:cNvPicPr/>
      </xdr:nvPicPr>
      <xdr:blipFill>
        <a:blip r:embed="rId1"/>
        <a:stretch/>
      </xdr:blipFill>
      <xdr:spPr>
        <a:xfrm>
          <a:off x="19635480" y="337680"/>
          <a:ext cx="5754240" cy="4663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</xdr:col>
      <xdr:colOff>9360</xdr:colOff>
      <xdr:row>21</xdr:row>
      <xdr:rowOff>109080</xdr:rowOff>
    </xdr:from>
    <xdr:to>
      <xdr:col>24</xdr:col>
      <xdr:colOff>177840</xdr:colOff>
      <xdr:row>46</xdr:row>
      <xdr:rowOff>169920</xdr:rowOff>
    </xdr:to>
    <xdr:pic>
      <xdr:nvPicPr>
        <xdr:cNvPr id="5" name="Picture 2" descr=""/>
        <xdr:cNvPicPr/>
      </xdr:nvPicPr>
      <xdr:blipFill>
        <a:blip r:embed="rId2"/>
        <a:stretch/>
      </xdr:blipFill>
      <xdr:spPr>
        <a:xfrm>
          <a:off x="19808640" y="4691160"/>
          <a:ext cx="5670000" cy="4553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907560</xdr:colOff>
      <xdr:row>23</xdr:row>
      <xdr:rowOff>30960</xdr:rowOff>
    </xdr:from>
    <xdr:to>
      <xdr:col>16</xdr:col>
      <xdr:colOff>135360</xdr:colOff>
      <xdr:row>62</xdr:row>
      <xdr:rowOff>63000</xdr:rowOff>
    </xdr:to>
    <xdr:pic>
      <xdr:nvPicPr>
        <xdr:cNvPr id="6" name="Picture 3" descr=""/>
        <xdr:cNvPicPr/>
      </xdr:nvPicPr>
      <xdr:blipFill>
        <a:blip r:embed="rId3"/>
        <a:stretch/>
      </xdr:blipFill>
      <xdr:spPr>
        <a:xfrm>
          <a:off x="11087280" y="5008680"/>
          <a:ext cx="8847360" cy="69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2375640</xdr:colOff>
      <xdr:row>67</xdr:row>
      <xdr:rowOff>12240</xdr:rowOff>
    </xdr:from>
    <xdr:to>
      <xdr:col>13</xdr:col>
      <xdr:colOff>630360</xdr:colOff>
      <xdr:row>75</xdr:row>
      <xdr:rowOff>47520</xdr:rowOff>
    </xdr:to>
    <xdr:pic>
      <xdr:nvPicPr>
        <xdr:cNvPr id="7" name="Picture 4" descr=""/>
        <xdr:cNvPicPr/>
      </xdr:nvPicPr>
      <xdr:blipFill>
        <a:blip r:embed="rId4"/>
        <a:stretch/>
      </xdr:blipFill>
      <xdr:spPr>
        <a:xfrm>
          <a:off x="3063240" y="12767400"/>
          <a:ext cx="14664960" cy="1437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76320</xdr:colOff>
      <xdr:row>11</xdr:row>
      <xdr:rowOff>144720</xdr:rowOff>
    </xdr:from>
    <xdr:to>
      <xdr:col>6</xdr:col>
      <xdr:colOff>38520</xdr:colOff>
      <xdr:row>27</xdr:row>
      <xdr:rowOff>69840</xdr:rowOff>
    </xdr:to>
    <xdr:pic>
      <xdr:nvPicPr>
        <xdr:cNvPr id="8" name="Picture 1" descr=""/>
        <xdr:cNvPicPr/>
      </xdr:nvPicPr>
      <xdr:blipFill>
        <a:blip r:embed="rId1"/>
        <a:stretch/>
      </xdr:blipFill>
      <xdr:spPr>
        <a:xfrm>
          <a:off x="1986480" y="2359440"/>
          <a:ext cx="4957560" cy="30031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github.com/cnlohr/rv003usb" TargetMode="External"/><Relationship Id="rId2" Type="http://schemas.openxmlformats.org/officeDocument/2006/relationships/hyperlink" Target="https://github.com/cnlohr/ch32fun" TargetMode="External"/><Relationship Id="rId3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github.com/cnlohr/rv003usb" TargetMode="External"/><Relationship Id="rId2" Type="http://schemas.openxmlformats.org/officeDocument/2006/relationships/hyperlink" Target="https://github.com/cnlohr/ch32fun" TargetMode="External"/><Relationship Id="rId3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lcsc.com/product-detail/C2871134.html?s_z=n_SN75468" TargetMode="External"/><Relationship Id="rId2" Type="http://schemas.openxmlformats.org/officeDocument/2006/relationships/hyperlink" Target="https://www.mouser.com/ProductDetail/Adafruit/3825?qs=%252BEew9%252B0nqrAn6n76%252BB5vZg%3D%3D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6"/>
  <sheetViews>
    <sheetView showFormulas="false" showGridLines="true" showRowColHeaders="true" showZeros="true" rightToLeft="false" tabSelected="true" showOutlineSymbols="true" defaultGridColor="true" view="normal" topLeftCell="A3" colorId="64" zoomScale="75" zoomScaleNormal="75" zoomScalePageLayoutView="100" workbookViewId="0">
      <selection pane="topLeft" activeCell="A6" activeCellId="0" sqref="A6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5.15"/>
    <col collapsed="false" customWidth="true" hidden="false" outlineLevel="0" max="3" min="2" style="1" width="18.86"/>
    <col collapsed="false" customWidth="true" hidden="false" outlineLevel="0" max="4" min="4" style="1" width="11.86"/>
    <col collapsed="false" customWidth="true" hidden="false" outlineLevel="0" max="5" min="5" style="1" width="28.14"/>
    <col collapsed="false" customWidth="true" hidden="false" outlineLevel="0" max="6" min="6" style="1" width="16.29"/>
    <col collapsed="false" customWidth="true" hidden="false" outlineLevel="0" max="7" min="7" style="1" width="9.86"/>
    <col collapsed="false" customWidth="true" hidden="false" outlineLevel="0" max="8" min="8" style="1" width="6.29"/>
    <col collapsed="false" customWidth="true" hidden="false" outlineLevel="0" max="9" min="9" style="1" width="121.57"/>
    <col collapsed="false" customWidth="true" hidden="false" outlineLevel="0" max="10" min="10" style="1" width="72.86"/>
    <col collapsed="false" customWidth="true" hidden="false" outlineLevel="0" max="11" min="11" style="1" width="21.43"/>
    <col collapsed="false" customWidth="true" hidden="false" outlineLevel="0" max="12" min="12" style="1" width="11.72"/>
    <col collapsed="false" customWidth="true" hidden="false" outlineLevel="0" max="13" min="13" style="1" width="6.14"/>
    <col collapsed="false" customWidth="true" hidden="false" outlineLevel="0" max="14" min="14" style="1" width="21.71"/>
  </cols>
  <sheetData>
    <row r="1" customFormat="false" ht="15.75" hidden="false" customHeight="true" outlineLevel="0" collapsed="false">
      <c r="A1" s="2"/>
      <c r="B1" s="2"/>
      <c r="C1" s="2" t="s">
        <v>0</v>
      </c>
      <c r="D1" s="3" t="n">
        <v>1</v>
      </c>
      <c r="E1" s="4" t="s">
        <v>1</v>
      </c>
      <c r="F1" s="4"/>
      <c r="G1" s="4"/>
      <c r="H1" s="4"/>
      <c r="I1" s="4"/>
      <c r="J1" s="4"/>
      <c r="K1" s="4"/>
      <c r="L1" s="4"/>
      <c r="M1" s="4"/>
      <c r="N1" s="5"/>
      <c r="O1" s="5"/>
    </row>
    <row r="2" customFormat="false" ht="15.75" hidden="false" customHeight="true" outlineLevel="0" collapsed="false">
      <c r="A2" s="6"/>
      <c r="B2" s="6"/>
      <c r="C2" s="6" t="s">
        <v>2</v>
      </c>
      <c r="D2" s="3" t="n">
        <v>1</v>
      </c>
      <c r="E2" s="4"/>
      <c r="F2" s="4"/>
      <c r="G2" s="4"/>
      <c r="H2" s="4"/>
      <c r="I2" s="4"/>
      <c r="J2" s="4"/>
      <c r="K2" s="4"/>
      <c r="L2" s="4"/>
      <c r="M2" s="4"/>
      <c r="N2" s="5"/>
      <c r="O2" s="5"/>
    </row>
    <row r="3" customFormat="false" ht="15.75" hidden="false" customHeight="true" outlineLevel="0" collapsed="false">
      <c r="A3" s="6"/>
      <c r="B3" s="6"/>
      <c r="C3" s="6" t="s">
        <v>3</v>
      </c>
      <c r="D3" s="3" t="n">
        <v>1</v>
      </c>
      <c r="E3" s="7" t="s">
        <v>4</v>
      </c>
      <c r="F3" s="7"/>
      <c r="G3" s="7"/>
      <c r="H3" s="7"/>
      <c r="I3" s="7"/>
      <c r="J3" s="7"/>
      <c r="K3" s="7"/>
      <c r="L3" s="7"/>
      <c r="M3" s="7"/>
      <c r="N3" s="5"/>
      <c r="O3" s="5"/>
    </row>
    <row r="4" customFormat="false" ht="15.75" hidden="false" customHeight="true" outlineLevel="0" collapsed="false">
      <c r="A4" s="8"/>
      <c r="B4" s="8"/>
      <c r="C4" s="8" t="s">
        <v>5</v>
      </c>
      <c r="D4" s="9" t="n">
        <v>46017</v>
      </c>
      <c r="E4" s="7"/>
      <c r="F4" s="7"/>
      <c r="G4" s="7"/>
      <c r="H4" s="7"/>
      <c r="I4" s="7"/>
      <c r="J4" s="7"/>
      <c r="K4" s="7"/>
      <c r="L4" s="7"/>
      <c r="M4" s="7"/>
      <c r="N4" s="5"/>
      <c r="O4" s="5"/>
    </row>
    <row r="5" customFormat="false" ht="15" hidden="false" customHeight="false" outlineLevel="0" collapsed="false">
      <c r="A5" s="10" t="s">
        <v>6</v>
      </c>
      <c r="B5" s="10" t="s">
        <v>7</v>
      </c>
      <c r="C5" s="10" t="s">
        <v>8</v>
      </c>
      <c r="D5" s="11" t="s">
        <v>9</v>
      </c>
      <c r="E5" s="11" t="s">
        <v>10</v>
      </c>
      <c r="F5" s="11" t="s">
        <v>11</v>
      </c>
      <c r="G5" s="11" t="s">
        <v>12</v>
      </c>
      <c r="H5" s="11" t="s">
        <v>13</v>
      </c>
      <c r="I5" s="12" t="s">
        <v>14</v>
      </c>
      <c r="J5" s="11" t="s">
        <v>15</v>
      </c>
      <c r="K5" s="11" t="s">
        <v>16</v>
      </c>
      <c r="L5" s="11" t="s">
        <v>17</v>
      </c>
      <c r="M5" s="13" t="s">
        <v>18</v>
      </c>
      <c r="N5" s="14"/>
      <c r="O5" s="14"/>
    </row>
    <row r="6" customFormat="false" ht="15" hidden="false" customHeight="false" outlineLevel="0" collapsed="false">
      <c r="A6" s="15" t="b">
        <f aca="false">TRUE()</f>
        <v>1</v>
      </c>
      <c r="B6" s="15" t="b">
        <f aca="false">TRUE()</f>
        <v>1</v>
      </c>
      <c r="C6" s="16" t="s">
        <v>19</v>
      </c>
      <c r="D6" s="17" t="n">
        <v>1</v>
      </c>
      <c r="E6" s="17" t="s">
        <v>20</v>
      </c>
      <c r="F6" s="18" t="s">
        <v>21</v>
      </c>
      <c r="G6" s="19" t="s">
        <v>22</v>
      </c>
      <c r="H6" s="20"/>
      <c r="I6" s="21" t="s">
        <v>23</v>
      </c>
      <c r="J6" s="22" t="s">
        <v>24</v>
      </c>
      <c r="K6" s="22"/>
      <c r="L6" s="22"/>
      <c r="M6" s="23"/>
      <c r="N6" s="5"/>
      <c r="O6" s="5"/>
    </row>
    <row r="7" customFormat="false" ht="15" hidden="false" customHeight="false" outlineLevel="0" collapsed="false">
      <c r="A7" s="15" t="b">
        <f aca="false">TRUE()</f>
        <v>1</v>
      </c>
      <c r="B7" s="24" t="b">
        <f aca="false">TRUE()</f>
        <v>1</v>
      </c>
      <c r="C7" s="25"/>
      <c r="D7" s="26" t="n">
        <v>1</v>
      </c>
      <c r="E7" s="26" t="s">
        <v>25</v>
      </c>
      <c r="F7" s="27" t="s">
        <v>26</v>
      </c>
      <c r="G7" s="28" t="s">
        <v>22</v>
      </c>
      <c r="H7" s="29"/>
      <c r="I7" s="30" t="s">
        <v>27</v>
      </c>
      <c r="J7" s="31" t="s">
        <v>28</v>
      </c>
      <c r="K7" s="31"/>
      <c r="L7" s="31"/>
      <c r="M7" s="32"/>
      <c r="N7" s="5"/>
      <c r="O7" s="5"/>
    </row>
    <row r="8" customFormat="false" ht="15" hidden="false" customHeight="false" outlineLevel="0" collapsed="false">
      <c r="A8" s="15" t="b">
        <f aca="false">TRUE()</f>
        <v>1</v>
      </c>
      <c r="B8" s="33" t="b">
        <f aca="false">TRUE()</f>
        <v>1</v>
      </c>
      <c r="C8" s="34"/>
      <c r="D8" s="35" t="n">
        <v>1</v>
      </c>
      <c r="E8" s="35" t="s">
        <v>29</v>
      </c>
      <c r="F8" s="36" t="s">
        <v>30</v>
      </c>
      <c r="G8" s="37" t="s">
        <v>22</v>
      </c>
      <c r="H8" s="38"/>
      <c r="I8" s="39" t="s">
        <v>31</v>
      </c>
      <c r="J8" s="40" t="s">
        <v>32</v>
      </c>
      <c r="K8" s="40"/>
      <c r="L8" s="40"/>
      <c r="M8" s="41"/>
      <c r="N8" s="14"/>
      <c r="O8" s="14"/>
    </row>
    <row r="9" customFormat="false" ht="16.4" hidden="false" customHeight="false" outlineLevel="0" collapsed="false">
      <c r="A9" s="15" t="b">
        <f aca="false">TRUE()</f>
        <v>1</v>
      </c>
      <c r="B9" s="15" t="b">
        <f aca="false">TRUE()</f>
        <v>1</v>
      </c>
      <c r="C9" s="42" t="s">
        <v>33</v>
      </c>
      <c r="D9" s="43" t="n">
        <v>1</v>
      </c>
      <c r="E9" s="44" t="s">
        <v>34</v>
      </c>
      <c r="F9" s="45" t="s">
        <v>35</v>
      </c>
      <c r="G9" s="46" t="s">
        <v>22</v>
      </c>
      <c r="H9" s="47"/>
      <c r="I9" s="48" t="s">
        <v>36</v>
      </c>
      <c r="J9" s="49"/>
      <c r="K9" s="49"/>
      <c r="L9" s="49"/>
      <c r="M9" s="50"/>
      <c r="N9" s="5"/>
      <c r="O9" s="5"/>
    </row>
    <row r="10" customFormat="false" ht="16.4" hidden="false" customHeight="false" outlineLevel="0" collapsed="false">
      <c r="A10" s="15" t="b">
        <f aca="false">TRUE()</f>
        <v>1</v>
      </c>
      <c r="B10" s="51" t="b">
        <f aca="false">FALSE()</f>
        <v>0</v>
      </c>
      <c r="C10" s="52"/>
      <c r="D10" s="53" t="n">
        <v>2</v>
      </c>
      <c r="E10" s="53" t="s">
        <v>22</v>
      </c>
      <c r="F10" s="54" t="s">
        <v>37</v>
      </c>
      <c r="G10" s="55" t="s">
        <v>22</v>
      </c>
      <c r="H10" s="56"/>
      <c r="I10" s="57" t="s">
        <v>38</v>
      </c>
      <c r="J10" s="58"/>
      <c r="K10" s="58"/>
      <c r="L10" s="58"/>
      <c r="M10" s="59"/>
      <c r="N10" s="60"/>
      <c r="O10" s="60"/>
    </row>
    <row r="11" customFormat="false" ht="31.3" hidden="false" customHeight="false" outlineLevel="0" collapsed="false">
      <c r="A11" s="15" t="b">
        <f aca="false">TRUE()</f>
        <v>1</v>
      </c>
      <c r="B11" s="61" t="b">
        <f aca="false">TRUE()</f>
        <v>1</v>
      </c>
      <c r="C11" s="62"/>
      <c r="D11" s="53" t="n">
        <v>7</v>
      </c>
      <c r="E11" s="53" t="n">
        <v>5005</v>
      </c>
      <c r="F11" s="54" t="s">
        <v>39</v>
      </c>
      <c r="G11" s="55" t="s">
        <v>22</v>
      </c>
      <c r="H11" s="56"/>
      <c r="I11" s="57" t="s">
        <v>40</v>
      </c>
      <c r="J11" s="58" t="s">
        <v>41</v>
      </c>
      <c r="K11" s="58"/>
      <c r="L11" s="58"/>
      <c r="M11" s="59"/>
    </row>
    <row r="12" customFormat="false" ht="15" hidden="false" customHeight="false" outlineLevel="0" collapsed="false">
      <c r="A12" s="15" t="b">
        <f aca="false">TRUE()</f>
        <v>1</v>
      </c>
      <c r="B12" s="33" t="b">
        <f aca="false">TRUE()</f>
        <v>1</v>
      </c>
      <c r="C12" s="63"/>
      <c r="D12" s="64" t="n">
        <v>1</v>
      </c>
      <c r="E12" s="64" t="s">
        <v>42</v>
      </c>
      <c r="F12" s="65" t="s">
        <v>43</v>
      </c>
      <c r="G12" s="66" t="s">
        <v>22</v>
      </c>
      <c r="H12" s="67"/>
      <c r="I12" s="68" t="s">
        <v>44</v>
      </c>
      <c r="J12" s="69"/>
      <c r="K12" s="69"/>
      <c r="L12" s="69"/>
      <c r="M12" s="70"/>
      <c r="N12" s="71"/>
      <c r="O12" s="71"/>
    </row>
    <row r="13" customFormat="false" ht="15.75" hidden="false" customHeight="false" outlineLevel="0" collapsed="false">
      <c r="A13" s="15" t="b">
        <f aca="false">TRUE()</f>
        <v>1</v>
      </c>
      <c r="B13" s="15" t="b">
        <f aca="false">TRUE()</f>
        <v>1</v>
      </c>
      <c r="C13" s="72" t="s">
        <v>45</v>
      </c>
      <c r="D13" s="73" t="n">
        <v>1</v>
      </c>
      <c r="E13" s="73" t="s">
        <v>46</v>
      </c>
      <c r="F13" s="74" t="s">
        <v>47</v>
      </c>
      <c r="G13" s="75" t="s">
        <v>22</v>
      </c>
      <c r="H13" s="76"/>
      <c r="I13" s="77" t="s">
        <v>48</v>
      </c>
      <c r="J13" s="78" t="s">
        <v>49</v>
      </c>
      <c r="K13" s="78"/>
      <c r="L13" s="78"/>
      <c r="M13" s="79"/>
      <c r="N13" s="5"/>
      <c r="O13" s="5"/>
    </row>
    <row r="14" customFormat="false" ht="46.25" hidden="false" customHeight="false" outlineLevel="0" collapsed="false">
      <c r="A14" s="15" t="b">
        <f aca="false">TRUE()</f>
        <v>1</v>
      </c>
      <c r="B14" s="61" t="b">
        <f aca="false">TRUE()</f>
        <v>1</v>
      </c>
      <c r="C14" s="80"/>
      <c r="D14" s="81" t="n">
        <v>12</v>
      </c>
      <c r="E14" s="81" t="s">
        <v>50</v>
      </c>
      <c r="F14" s="82" t="s">
        <v>51</v>
      </c>
      <c r="G14" s="83" t="s">
        <v>22</v>
      </c>
      <c r="H14" s="84"/>
      <c r="I14" s="85" t="s">
        <v>52</v>
      </c>
      <c r="J14" s="86" t="s">
        <v>32</v>
      </c>
      <c r="K14" s="86"/>
      <c r="L14" s="86"/>
      <c r="M14" s="87"/>
      <c r="N14" s="5"/>
      <c r="O14" s="5"/>
    </row>
    <row r="15" customFormat="false" ht="16.4" hidden="false" customHeight="false" outlineLevel="0" collapsed="false">
      <c r="A15" s="15" t="b">
        <f aca="false">TRUE()</f>
        <v>1</v>
      </c>
      <c r="B15" s="61" t="b">
        <f aca="false">TRUE()</f>
        <v>1</v>
      </c>
      <c r="C15" s="80"/>
      <c r="D15" s="81" t="n">
        <v>1</v>
      </c>
      <c r="E15" s="81" t="s">
        <v>53</v>
      </c>
      <c r="F15" s="82" t="s">
        <v>54</v>
      </c>
      <c r="G15" s="83" t="s">
        <v>22</v>
      </c>
      <c r="H15" s="84"/>
      <c r="I15" s="85" t="s">
        <v>55</v>
      </c>
      <c r="J15" s="86" t="s">
        <v>56</v>
      </c>
      <c r="K15" s="86"/>
      <c r="L15" s="86"/>
      <c r="M15" s="87"/>
      <c r="N15" s="88"/>
      <c r="O15" s="88"/>
    </row>
    <row r="16" customFormat="false" ht="16.4" hidden="false" customHeight="false" outlineLevel="0" collapsed="false">
      <c r="A16" s="15" t="b">
        <f aca="false">TRUE()</f>
        <v>1</v>
      </c>
      <c r="B16" s="89" t="b">
        <f aca="false">TRUE()</f>
        <v>1</v>
      </c>
      <c r="C16" s="90"/>
      <c r="D16" s="91" t="n">
        <v>2</v>
      </c>
      <c r="E16" s="91" t="s">
        <v>57</v>
      </c>
      <c r="F16" s="92" t="s">
        <v>58</v>
      </c>
      <c r="G16" s="93" t="s">
        <v>22</v>
      </c>
      <c r="H16" s="94"/>
      <c r="I16" s="95" t="s">
        <v>59</v>
      </c>
      <c r="J16" s="96" t="s">
        <v>60</v>
      </c>
      <c r="K16" s="96"/>
      <c r="L16" s="96"/>
      <c r="M16" s="97"/>
      <c r="N16" s="98"/>
      <c r="O16" s="98"/>
    </row>
    <row r="17" customFormat="false" ht="15" hidden="false" customHeight="false" outlineLevel="0" collapsed="false">
      <c r="A17" s="15" t="b">
        <f aca="false">TRUE()</f>
        <v>1</v>
      </c>
      <c r="B17" s="15" t="b">
        <f aca="false">FALSE()</f>
        <v>0</v>
      </c>
      <c r="C17" s="99" t="s">
        <v>61</v>
      </c>
      <c r="D17" s="100" t="n">
        <v>1</v>
      </c>
      <c r="E17" s="100" t="s">
        <v>62</v>
      </c>
      <c r="F17" s="101" t="s">
        <v>63</v>
      </c>
      <c r="G17" s="102" t="s">
        <v>64</v>
      </c>
      <c r="H17" s="103"/>
      <c r="I17" s="104" t="s">
        <v>65</v>
      </c>
      <c r="J17" s="105" t="s">
        <v>66</v>
      </c>
      <c r="K17" s="106"/>
      <c r="L17" s="106"/>
      <c r="M17" s="107"/>
      <c r="N17" s="5"/>
      <c r="O17" s="5"/>
    </row>
    <row r="18" customFormat="false" ht="15" hidden="false" customHeight="false" outlineLevel="0" collapsed="false">
      <c r="A18" s="15" t="b">
        <f aca="false">TRUE()</f>
        <v>1</v>
      </c>
      <c r="B18" s="61" t="b">
        <f aca="false">TRUE()</f>
        <v>1</v>
      </c>
      <c r="C18" s="108"/>
      <c r="D18" s="109" t="n">
        <v>1</v>
      </c>
      <c r="E18" s="109" t="s">
        <v>67</v>
      </c>
      <c r="F18" s="110" t="s">
        <v>68</v>
      </c>
      <c r="G18" s="111" t="s">
        <v>69</v>
      </c>
      <c r="H18" s="112"/>
      <c r="I18" s="113" t="s">
        <v>70</v>
      </c>
      <c r="J18" s="114" t="n">
        <v>1210</v>
      </c>
      <c r="K18" s="115"/>
      <c r="L18" s="115"/>
      <c r="M18" s="116"/>
      <c r="N18" s="5"/>
      <c r="O18" s="5"/>
    </row>
    <row r="19" customFormat="false" ht="15" hidden="false" customHeight="false" outlineLevel="0" collapsed="false">
      <c r="A19" s="15" t="b">
        <f aca="false">TRUE()</f>
        <v>1</v>
      </c>
      <c r="B19" s="61" t="b">
        <f aca="false">FALSE()</f>
        <v>0</v>
      </c>
      <c r="C19" s="108"/>
      <c r="D19" s="109" t="n">
        <v>3</v>
      </c>
      <c r="E19" s="109" t="s">
        <v>71</v>
      </c>
      <c r="F19" s="110" t="s">
        <v>72</v>
      </c>
      <c r="G19" s="111" t="s">
        <v>73</v>
      </c>
      <c r="H19" s="112"/>
      <c r="I19" s="117" t="s">
        <v>74</v>
      </c>
      <c r="J19" s="114" t="s">
        <v>66</v>
      </c>
      <c r="K19" s="115"/>
      <c r="L19" s="115"/>
      <c r="M19" s="116"/>
      <c r="N19" s="5"/>
      <c r="O19" s="5"/>
    </row>
    <row r="20" customFormat="false" ht="16.4" hidden="false" customHeight="false" outlineLevel="0" collapsed="false">
      <c r="A20" s="15" t="b">
        <f aca="false">TRUE()</f>
        <v>1</v>
      </c>
      <c r="B20" s="61" t="b">
        <f aca="false">TRUE()</f>
        <v>1</v>
      </c>
      <c r="C20" s="108"/>
      <c r="D20" s="118" t="n">
        <v>2</v>
      </c>
      <c r="E20" s="118" t="s">
        <v>75</v>
      </c>
      <c r="F20" s="119" t="s">
        <v>76</v>
      </c>
      <c r="G20" s="111" t="s">
        <v>77</v>
      </c>
      <c r="H20" s="120"/>
      <c r="I20" s="121" t="s">
        <v>78</v>
      </c>
      <c r="J20" s="114" t="s">
        <v>79</v>
      </c>
      <c r="K20" s="115"/>
      <c r="L20" s="115"/>
      <c r="M20" s="116"/>
      <c r="N20" s="5"/>
      <c r="O20" s="5"/>
    </row>
    <row r="21" customFormat="false" ht="16.4" hidden="false" customHeight="false" outlineLevel="0" collapsed="false">
      <c r="A21" s="15" t="b">
        <f aca="false">FALSE()</f>
        <v>0</v>
      </c>
      <c r="B21" s="61" t="b">
        <f aca="false">FALSE()</f>
        <v>0</v>
      </c>
      <c r="C21" s="108"/>
      <c r="D21" s="118" t="n">
        <v>2</v>
      </c>
      <c r="E21" s="118" t="s">
        <v>22</v>
      </c>
      <c r="F21" s="119" t="s">
        <v>80</v>
      </c>
      <c r="G21" s="111" t="s">
        <v>81</v>
      </c>
      <c r="H21" s="120"/>
      <c r="I21" s="121" t="s">
        <v>22</v>
      </c>
      <c r="J21" s="114" t="s">
        <v>66</v>
      </c>
      <c r="K21" s="115"/>
      <c r="L21" s="115"/>
      <c r="M21" s="116"/>
      <c r="N21" s="5"/>
      <c r="O21" s="5"/>
    </row>
    <row r="22" customFormat="false" ht="16.4" hidden="false" customHeight="false" outlineLevel="0" collapsed="false">
      <c r="A22" s="15" t="b">
        <f aca="false">TRUE()</f>
        <v>1</v>
      </c>
      <c r="B22" s="61" t="b">
        <f aca="false">TRUE()</f>
        <v>1</v>
      </c>
      <c r="C22" s="108"/>
      <c r="D22" s="118" t="n">
        <v>1</v>
      </c>
      <c r="E22" s="109" t="s">
        <v>82</v>
      </c>
      <c r="F22" s="119" t="s">
        <v>83</v>
      </c>
      <c r="G22" s="111" t="s">
        <v>84</v>
      </c>
      <c r="H22" s="112"/>
      <c r="I22" s="117" t="s">
        <v>85</v>
      </c>
      <c r="J22" s="114" t="n">
        <v>2010</v>
      </c>
      <c r="K22" s="115"/>
      <c r="L22" s="115"/>
      <c r="M22" s="116"/>
      <c r="N22" s="5"/>
      <c r="O22" s="5"/>
    </row>
    <row r="23" customFormat="false" ht="16.4" hidden="false" customHeight="false" outlineLevel="0" collapsed="false">
      <c r="A23" s="15" t="b">
        <f aca="false">TRUE()</f>
        <v>1</v>
      </c>
      <c r="B23" s="61" t="b">
        <f aca="false">FALSE()</f>
        <v>0</v>
      </c>
      <c r="C23" s="108"/>
      <c r="D23" s="118" t="n">
        <v>1</v>
      </c>
      <c r="E23" s="109" t="s">
        <v>86</v>
      </c>
      <c r="F23" s="119" t="s">
        <v>87</v>
      </c>
      <c r="G23" s="111" t="s">
        <v>88</v>
      </c>
      <c r="H23" s="112"/>
      <c r="I23" s="117" t="s">
        <v>89</v>
      </c>
      <c r="J23" s="114" t="s">
        <v>66</v>
      </c>
      <c r="K23" s="115"/>
      <c r="L23" s="115"/>
      <c r="M23" s="116"/>
      <c r="N23" s="5"/>
      <c r="O23" s="5"/>
    </row>
    <row r="24" customFormat="false" ht="16.4" hidden="false" customHeight="false" outlineLevel="0" collapsed="false">
      <c r="A24" s="15" t="b">
        <f aca="false">TRUE()</f>
        <v>1</v>
      </c>
      <c r="B24" s="61" t="b">
        <f aca="false">FALSE()</f>
        <v>0</v>
      </c>
      <c r="C24" s="108"/>
      <c r="D24" s="118" t="n">
        <v>2</v>
      </c>
      <c r="E24" s="122" t="n">
        <v>560112110017</v>
      </c>
      <c r="F24" s="119" t="s">
        <v>90</v>
      </c>
      <c r="G24" s="111" t="n">
        <v>47</v>
      </c>
      <c r="H24" s="120"/>
      <c r="I24" s="121" t="s">
        <v>91</v>
      </c>
      <c r="J24" s="114" t="s">
        <v>66</v>
      </c>
      <c r="K24" s="115"/>
      <c r="L24" s="115"/>
      <c r="M24" s="116"/>
      <c r="N24" s="5"/>
      <c r="O24" s="5"/>
    </row>
    <row r="25" customFormat="false" ht="16.4" hidden="false" customHeight="false" outlineLevel="0" collapsed="false">
      <c r="A25" s="15" t="b">
        <f aca="false">TRUE()</f>
        <v>1</v>
      </c>
      <c r="B25" s="61" t="b">
        <f aca="false">FALSE()</f>
        <v>0</v>
      </c>
      <c r="C25" s="108"/>
      <c r="D25" s="118" t="n">
        <v>2</v>
      </c>
      <c r="E25" s="118" t="s">
        <v>92</v>
      </c>
      <c r="F25" s="119" t="s">
        <v>93</v>
      </c>
      <c r="G25" s="111" t="s">
        <v>94</v>
      </c>
      <c r="H25" s="120"/>
      <c r="I25" s="121" t="s">
        <v>95</v>
      </c>
      <c r="J25" s="114" t="s">
        <v>66</v>
      </c>
      <c r="K25" s="115"/>
      <c r="L25" s="115"/>
      <c r="M25" s="116"/>
      <c r="N25" s="5"/>
      <c r="O25" s="5"/>
    </row>
    <row r="26" customFormat="false" ht="16.4" hidden="false" customHeight="false" outlineLevel="0" collapsed="false">
      <c r="A26" s="15" t="b">
        <f aca="false">TRUE()</f>
        <v>1</v>
      </c>
      <c r="B26" s="24" t="b">
        <f aca="false">FALSE()</f>
        <v>0</v>
      </c>
      <c r="C26" s="123"/>
      <c r="D26" s="124" t="n">
        <v>2</v>
      </c>
      <c r="E26" s="124" t="s">
        <v>96</v>
      </c>
      <c r="F26" s="125" t="s">
        <v>97</v>
      </c>
      <c r="G26" s="126" t="s">
        <v>98</v>
      </c>
      <c r="H26" s="127"/>
      <c r="I26" s="128" t="s">
        <v>99</v>
      </c>
      <c r="J26" s="114" t="s">
        <v>66</v>
      </c>
      <c r="K26" s="129"/>
      <c r="L26" s="129"/>
      <c r="M26" s="130"/>
      <c r="N26" s="5"/>
      <c r="O26" s="5"/>
    </row>
    <row r="27" customFormat="false" ht="16.4" hidden="false" customHeight="false" outlineLevel="0" collapsed="false">
      <c r="A27" s="15" t="b">
        <f aca="false">TRUE()</f>
        <v>1</v>
      </c>
      <c r="B27" s="33" t="b">
        <f aca="false">FALSE()</f>
        <v>0</v>
      </c>
      <c r="C27" s="131"/>
      <c r="D27" s="132" t="n">
        <v>1</v>
      </c>
      <c r="E27" s="132" t="s">
        <v>100</v>
      </c>
      <c r="F27" s="133" t="s">
        <v>101</v>
      </c>
      <c r="G27" s="134" t="s">
        <v>102</v>
      </c>
      <c r="H27" s="135"/>
      <c r="I27" s="136" t="s">
        <v>103</v>
      </c>
      <c r="J27" s="114" t="s">
        <v>66</v>
      </c>
      <c r="K27" s="137"/>
      <c r="L27" s="137"/>
      <c r="M27" s="138"/>
      <c r="N27" s="14"/>
      <c r="O27" s="14"/>
    </row>
    <row r="28" customFormat="false" ht="16.4" hidden="false" customHeight="false" outlineLevel="0" collapsed="false">
      <c r="A28" s="139" t="b">
        <f aca="false">TRUE()</f>
        <v>1</v>
      </c>
      <c r="B28" s="139" t="b">
        <f aca="false">TRUE()</f>
        <v>1</v>
      </c>
      <c r="C28" s="140" t="s">
        <v>104</v>
      </c>
      <c r="D28" s="141" t="n">
        <v>1</v>
      </c>
      <c r="E28" s="142" t="s">
        <v>105</v>
      </c>
      <c r="F28" s="143" t="s">
        <v>106</v>
      </c>
      <c r="G28" s="141" t="s">
        <v>22</v>
      </c>
      <c r="H28" s="144"/>
      <c r="I28" s="145" t="s">
        <v>107</v>
      </c>
      <c r="J28" s="146"/>
      <c r="K28" s="146"/>
      <c r="L28" s="146"/>
      <c r="M28" s="147"/>
      <c r="N28" s="5"/>
      <c r="O28" s="5"/>
    </row>
    <row r="29" customFormat="false" ht="15" hidden="false" customHeight="false" outlineLevel="0" collapsed="false">
      <c r="A29" s="148" t="b">
        <f aca="false">FALSE()</f>
        <v>0</v>
      </c>
      <c r="B29" s="33" t="b">
        <f aca="false">FALSE()</f>
        <v>0</v>
      </c>
      <c r="C29" s="149"/>
      <c r="D29" s="150"/>
      <c r="E29" s="151"/>
      <c r="F29" s="152"/>
      <c r="G29" s="150"/>
      <c r="H29" s="153"/>
      <c r="I29" s="154"/>
      <c r="J29" s="155"/>
      <c r="K29" s="155"/>
      <c r="L29" s="155"/>
      <c r="M29" s="156"/>
      <c r="N29" s="14"/>
      <c r="O29" s="14"/>
    </row>
    <row r="30" customFormat="false" ht="15" hidden="false" customHeight="false" outlineLevel="0" collapsed="false">
      <c r="A30" s="15" t="b">
        <f aca="false">TRUE()</f>
        <v>1</v>
      </c>
      <c r="B30" s="157" t="b">
        <f aca="false">TRUE()</f>
        <v>1</v>
      </c>
      <c r="C30" s="158" t="s">
        <v>108</v>
      </c>
      <c r="D30" s="159" t="n">
        <v>2</v>
      </c>
      <c r="E30" s="142" t="s">
        <v>109</v>
      </c>
      <c r="F30" s="160"/>
      <c r="G30" s="160"/>
      <c r="H30" s="160"/>
      <c r="I30" s="160"/>
      <c r="J30" s="160"/>
      <c r="K30" s="160"/>
      <c r="L30" s="160"/>
      <c r="M30" s="161"/>
      <c r="N30" s="5"/>
      <c r="O30" s="5"/>
    </row>
    <row r="31" customFormat="false" ht="15" hidden="false" customHeight="false" outlineLevel="0" collapsed="false">
      <c r="A31" s="15" t="b">
        <f aca="false">TRUE()</f>
        <v>1</v>
      </c>
      <c r="B31" s="61" t="b">
        <f aca="false">TRUE()</f>
        <v>1</v>
      </c>
      <c r="C31" s="162"/>
      <c r="D31" s="163" t="n">
        <v>2</v>
      </c>
      <c r="E31" s="164" t="s">
        <v>110</v>
      </c>
      <c r="F31" s="165" t="s">
        <v>111</v>
      </c>
      <c r="G31" s="163" t="s">
        <v>22</v>
      </c>
      <c r="H31" s="166"/>
      <c r="I31" s="167" t="s">
        <v>112</v>
      </c>
      <c r="J31" s="168"/>
      <c r="K31" s="168"/>
      <c r="L31" s="168"/>
      <c r="M31" s="169"/>
      <c r="N31" s="5"/>
      <c r="O31" s="5"/>
    </row>
    <row r="32" customFormat="false" ht="15" hidden="false" customHeight="false" outlineLevel="0" collapsed="false">
      <c r="A32" s="170" t="b">
        <f aca="false">TRUE()</f>
        <v>1</v>
      </c>
      <c r="B32" s="171" t="b">
        <f aca="false">TRUE()</f>
        <v>1</v>
      </c>
      <c r="C32" s="172"/>
      <c r="D32" s="173" t="n">
        <v>1</v>
      </c>
      <c r="E32" s="173" t="s">
        <v>113</v>
      </c>
      <c r="F32" s="174"/>
      <c r="G32" s="175" t="s">
        <v>22</v>
      </c>
      <c r="H32" s="176"/>
      <c r="I32" s="177" t="s">
        <v>114</v>
      </c>
      <c r="J32" s="178"/>
      <c r="K32" s="178"/>
      <c r="L32" s="178"/>
      <c r="M32" s="179"/>
      <c r="N32" s="60"/>
      <c r="O32" s="60"/>
    </row>
    <row r="36" customFormat="false" ht="15" hidden="false" customHeight="false" outlineLevel="0" collapsed="false">
      <c r="E36" s="1" t="s">
        <v>115</v>
      </c>
      <c r="F36" s="1" t="s">
        <v>116</v>
      </c>
    </row>
  </sheetData>
  <mergeCells count="2">
    <mergeCell ref="E1:M2"/>
    <mergeCell ref="E3:M4"/>
  </mergeCells>
  <conditionalFormatting sqref="A6:B32">
    <cfRule type="cellIs" priority="2" operator="equal" aboveAverage="0" equalAverage="0" bottom="0" percent="0" rank="0" text="" dxfId="0">
      <formula>1</formula>
    </cfRule>
    <cfRule type="cellIs" priority="3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6"/>
  <sheetViews>
    <sheetView showFormulas="false" showGridLines="true" showRowColHeaders="true" showZeros="true" rightToLeft="false" tabSelected="false" showOutlineSymbols="true" defaultGridColor="true" view="normal" topLeftCell="A3" colorId="64" zoomScale="75" zoomScaleNormal="75" zoomScalePageLayoutView="100" workbookViewId="0">
      <selection pane="topLeft" activeCell="A6" activeCellId="0" sqref="A6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5.15"/>
    <col collapsed="false" customWidth="true" hidden="false" outlineLevel="0" max="3" min="2" style="1" width="18.86"/>
    <col collapsed="false" customWidth="true" hidden="false" outlineLevel="0" max="4" min="4" style="1" width="11.86"/>
    <col collapsed="false" customWidth="true" hidden="false" outlineLevel="0" max="5" min="5" style="1" width="28.14"/>
    <col collapsed="false" customWidth="true" hidden="false" outlineLevel="0" max="6" min="6" style="1" width="16.29"/>
    <col collapsed="false" customWidth="true" hidden="false" outlineLevel="0" max="7" min="7" style="1" width="9.86"/>
    <col collapsed="false" customWidth="true" hidden="false" outlineLevel="0" max="8" min="8" style="1" width="6.29"/>
    <col collapsed="false" customWidth="true" hidden="false" outlineLevel="0" max="9" min="9" style="1" width="121.57"/>
    <col collapsed="false" customWidth="true" hidden="false" outlineLevel="0" max="10" min="10" style="1" width="72.86"/>
    <col collapsed="false" customWidth="true" hidden="false" outlineLevel="0" max="11" min="11" style="1" width="21.43"/>
    <col collapsed="false" customWidth="true" hidden="false" outlineLevel="0" max="12" min="12" style="1" width="11.72"/>
    <col collapsed="false" customWidth="true" hidden="false" outlineLevel="0" max="13" min="13" style="1" width="6.14"/>
    <col collapsed="false" customWidth="true" hidden="false" outlineLevel="0" max="14" min="14" style="1" width="21.71"/>
  </cols>
  <sheetData>
    <row r="1" customFormat="false" ht="15.75" hidden="false" customHeight="true" outlineLevel="0" collapsed="false">
      <c r="A1" s="2"/>
      <c r="B1" s="2"/>
      <c r="C1" s="2" t="s">
        <v>0</v>
      </c>
      <c r="D1" s="3" t="n">
        <v>1</v>
      </c>
      <c r="E1" s="4" t="s">
        <v>1</v>
      </c>
      <c r="F1" s="4"/>
      <c r="G1" s="4"/>
      <c r="H1" s="4"/>
      <c r="I1" s="4"/>
      <c r="J1" s="4"/>
      <c r="K1" s="4"/>
      <c r="L1" s="4"/>
      <c r="M1" s="4"/>
      <c r="N1" s="5"/>
      <c r="O1" s="5"/>
    </row>
    <row r="2" customFormat="false" ht="15.75" hidden="false" customHeight="true" outlineLevel="0" collapsed="false">
      <c r="A2" s="6"/>
      <c r="B2" s="6"/>
      <c r="C2" s="6" t="s">
        <v>2</v>
      </c>
      <c r="D2" s="3" t="n">
        <v>1</v>
      </c>
      <c r="E2" s="4"/>
      <c r="F2" s="4"/>
      <c r="G2" s="4"/>
      <c r="H2" s="4"/>
      <c r="I2" s="4"/>
      <c r="J2" s="4"/>
      <c r="K2" s="4"/>
      <c r="L2" s="4"/>
      <c r="M2" s="4"/>
      <c r="N2" s="5"/>
      <c r="O2" s="5"/>
    </row>
    <row r="3" customFormat="false" ht="15.75" hidden="false" customHeight="true" outlineLevel="0" collapsed="false">
      <c r="A3" s="6"/>
      <c r="B3" s="6"/>
      <c r="C3" s="6" t="s">
        <v>3</v>
      </c>
      <c r="D3" s="3" t="n">
        <v>1</v>
      </c>
      <c r="E3" s="7" t="s">
        <v>4</v>
      </c>
      <c r="F3" s="7"/>
      <c r="G3" s="7"/>
      <c r="H3" s="7"/>
      <c r="I3" s="7"/>
      <c r="J3" s="7"/>
      <c r="K3" s="7"/>
      <c r="L3" s="7"/>
      <c r="M3" s="7"/>
      <c r="N3" s="5"/>
      <c r="O3" s="5"/>
    </row>
    <row r="4" customFormat="false" ht="15.75" hidden="false" customHeight="true" outlineLevel="0" collapsed="false">
      <c r="A4" s="8"/>
      <c r="B4" s="8"/>
      <c r="C4" s="8" t="s">
        <v>5</v>
      </c>
      <c r="D4" s="9" t="n">
        <v>46017</v>
      </c>
      <c r="E4" s="7"/>
      <c r="F4" s="7"/>
      <c r="G4" s="7"/>
      <c r="H4" s="7"/>
      <c r="I4" s="7"/>
      <c r="J4" s="7"/>
      <c r="K4" s="7"/>
      <c r="L4" s="7"/>
      <c r="M4" s="7"/>
      <c r="N4" s="5"/>
      <c r="O4" s="5"/>
    </row>
    <row r="5" s="180" customFormat="true" ht="15" hidden="false" customHeight="false" outlineLevel="0" collapsed="false">
      <c r="A5" s="10" t="s">
        <v>6</v>
      </c>
      <c r="B5" s="10" t="s">
        <v>7</v>
      </c>
      <c r="C5" s="10" t="s">
        <v>8</v>
      </c>
      <c r="D5" s="11" t="s">
        <v>9</v>
      </c>
      <c r="E5" s="11" t="s">
        <v>10</v>
      </c>
      <c r="F5" s="11" t="s">
        <v>11</v>
      </c>
      <c r="G5" s="11" t="s">
        <v>12</v>
      </c>
      <c r="H5" s="11" t="s">
        <v>13</v>
      </c>
      <c r="I5" s="12" t="s">
        <v>14</v>
      </c>
      <c r="J5" s="11" t="s">
        <v>15</v>
      </c>
      <c r="K5" s="11" t="s">
        <v>16</v>
      </c>
      <c r="L5" s="11" t="s">
        <v>17</v>
      </c>
      <c r="M5" s="13" t="s">
        <v>18</v>
      </c>
      <c r="N5" s="14"/>
      <c r="O5" s="14"/>
    </row>
    <row r="6" customFormat="false" ht="15" hidden="false" customHeight="false" outlineLevel="0" collapsed="false">
      <c r="A6" s="15" t="b">
        <f aca="false">TRUE()</f>
        <v>1</v>
      </c>
      <c r="B6" s="15" t="b">
        <f aca="false">TRUE()</f>
        <v>1</v>
      </c>
      <c r="C6" s="16" t="s">
        <v>19</v>
      </c>
      <c r="D6" s="17" t="n">
        <v>1</v>
      </c>
      <c r="E6" s="17" t="s">
        <v>20</v>
      </c>
      <c r="F6" s="18" t="s">
        <v>21</v>
      </c>
      <c r="G6" s="19" t="s">
        <v>22</v>
      </c>
      <c r="H6" s="20"/>
      <c r="I6" s="21" t="s">
        <v>23</v>
      </c>
      <c r="J6" s="22" t="s">
        <v>24</v>
      </c>
      <c r="K6" s="22"/>
      <c r="L6" s="22"/>
      <c r="M6" s="23"/>
      <c r="N6" s="5"/>
      <c r="O6" s="5"/>
    </row>
    <row r="7" customFormat="false" ht="15" hidden="false" customHeight="false" outlineLevel="0" collapsed="false">
      <c r="A7" s="15" t="b">
        <f aca="false">TRUE()</f>
        <v>1</v>
      </c>
      <c r="B7" s="24" t="b">
        <f aca="false">TRUE()</f>
        <v>1</v>
      </c>
      <c r="C7" s="25"/>
      <c r="D7" s="26" t="n">
        <v>1</v>
      </c>
      <c r="E7" s="26" t="s">
        <v>25</v>
      </c>
      <c r="F7" s="27" t="s">
        <v>26</v>
      </c>
      <c r="G7" s="28" t="s">
        <v>22</v>
      </c>
      <c r="H7" s="29"/>
      <c r="I7" s="30" t="s">
        <v>27</v>
      </c>
      <c r="J7" s="31" t="s">
        <v>28</v>
      </c>
      <c r="K7" s="31"/>
      <c r="L7" s="31"/>
      <c r="M7" s="32"/>
      <c r="N7" s="5"/>
      <c r="O7" s="5"/>
    </row>
    <row r="8" s="180" customFormat="true" ht="15" hidden="false" customHeight="false" outlineLevel="0" collapsed="false">
      <c r="A8" s="15" t="b">
        <f aca="false">TRUE()</f>
        <v>1</v>
      </c>
      <c r="B8" s="33" t="b">
        <f aca="false">TRUE()</f>
        <v>1</v>
      </c>
      <c r="C8" s="34"/>
      <c r="D8" s="35" t="n">
        <v>1</v>
      </c>
      <c r="E8" s="35" t="s">
        <v>29</v>
      </c>
      <c r="F8" s="36" t="s">
        <v>30</v>
      </c>
      <c r="G8" s="37" t="s">
        <v>22</v>
      </c>
      <c r="H8" s="38"/>
      <c r="I8" s="39" t="s">
        <v>31</v>
      </c>
      <c r="J8" s="40" t="s">
        <v>32</v>
      </c>
      <c r="K8" s="40"/>
      <c r="L8" s="40"/>
      <c r="M8" s="41"/>
      <c r="N8" s="14"/>
      <c r="O8" s="14"/>
    </row>
    <row r="9" customFormat="false" ht="16.4" hidden="false" customHeight="false" outlineLevel="0" collapsed="false">
      <c r="A9" s="15" t="b">
        <f aca="false">TRUE()</f>
        <v>1</v>
      </c>
      <c r="B9" s="15" t="b">
        <f aca="false">TRUE()</f>
        <v>1</v>
      </c>
      <c r="C9" s="42" t="s">
        <v>33</v>
      </c>
      <c r="D9" s="43" t="n">
        <v>1</v>
      </c>
      <c r="E9" s="44" t="s">
        <v>34</v>
      </c>
      <c r="F9" s="45" t="s">
        <v>35</v>
      </c>
      <c r="G9" s="46" t="s">
        <v>22</v>
      </c>
      <c r="H9" s="47"/>
      <c r="I9" s="48" t="s">
        <v>36</v>
      </c>
      <c r="J9" s="49"/>
      <c r="K9" s="49"/>
      <c r="L9" s="49"/>
      <c r="M9" s="50"/>
      <c r="N9" s="5"/>
      <c r="O9" s="5"/>
    </row>
    <row r="10" s="181" customFormat="true" ht="16.4" hidden="false" customHeight="false" outlineLevel="0" collapsed="false">
      <c r="A10" s="15" t="b">
        <f aca="false">TRUE()</f>
        <v>1</v>
      </c>
      <c r="B10" s="51" t="b">
        <f aca="false">FALSE()</f>
        <v>0</v>
      </c>
      <c r="C10" s="52"/>
      <c r="D10" s="53" t="n">
        <v>2</v>
      </c>
      <c r="E10" s="53" t="s">
        <v>22</v>
      </c>
      <c r="F10" s="54" t="s">
        <v>37</v>
      </c>
      <c r="G10" s="55" t="s">
        <v>22</v>
      </c>
      <c r="H10" s="56"/>
      <c r="I10" s="57" t="s">
        <v>38</v>
      </c>
      <c r="J10" s="58"/>
      <c r="K10" s="58"/>
      <c r="L10" s="58"/>
      <c r="M10" s="59"/>
      <c r="N10" s="60"/>
      <c r="O10" s="60"/>
    </row>
    <row r="11" customFormat="false" ht="31.3" hidden="false" customHeight="false" outlineLevel="0" collapsed="false">
      <c r="A11" s="15" t="b">
        <f aca="false">TRUE()</f>
        <v>1</v>
      </c>
      <c r="B11" s="61" t="b">
        <f aca="false">TRUE()</f>
        <v>1</v>
      </c>
      <c r="C11" s="62"/>
      <c r="D11" s="53" t="n">
        <v>7</v>
      </c>
      <c r="E11" s="53" t="n">
        <v>5005</v>
      </c>
      <c r="F11" s="54" t="s">
        <v>39</v>
      </c>
      <c r="G11" s="55" t="s">
        <v>22</v>
      </c>
      <c r="H11" s="56"/>
      <c r="I11" s="57" t="s">
        <v>40</v>
      </c>
      <c r="J11" s="58" t="s">
        <v>41</v>
      </c>
      <c r="K11" s="58"/>
      <c r="L11" s="58"/>
      <c r="M11" s="59"/>
    </row>
    <row r="12" s="182" customFormat="true" ht="15" hidden="false" customHeight="false" outlineLevel="0" collapsed="false">
      <c r="A12" s="15" t="b">
        <f aca="false">TRUE()</f>
        <v>1</v>
      </c>
      <c r="B12" s="33" t="b">
        <f aca="false">TRUE()</f>
        <v>1</v>
      </c>
      <c r="C12" s="63"/>
      <c r="D12" s="64" t="n">
        <v>1</v>
      </c>
      <c r="E12" s="64" t="s">
        <v>42</v>
      </c>
      <c r="F12" s="65" t="s">
        <v>43</v>
      </c>
      <c r="G12" s="66" t="s">
        <v>22</v>
      </c>
      <c r="H12" s="67"/>
      <c r="I12" s="68" t="s">
        <v>44</v>
      </c>
      <c r="J12" s="69"/>
      <c r="K12" s="69"/>
      <c r="L12" s="69"/>
      <c r="M12" s="70"/>
      <c r="N12" s="71"/>
      <c r="O12" s="71"/>
    </row>
    <row r="13" customFormat="false" ht="15.75" hidden="false" customHeight="false" outlineLevel="0" collapsed="false">
      <c r="A13" s="15" t="b">
        <f aca="false">TRUE()</f>
        <v>1</v>
      </c>
      <c r="B13" s="15" t="b">
        <f aca="false">TRUE()</f>
        <v>1</v>
      </c>
      <c r="C13" s="72" t="s">
        <v>45</v>
      </c>
      <c r="D13" s="73" t="n">
        <v>1</v>
      </c>
      <c r="E13" s="73" t="s">
        <v>46</v>
      </c>
      <c r="F13" s="74" t="s">
        <v>47</v>
      </c>
      <c r="G13" s="75" t="s">
        <v>22</v>
      </c>
      <c r="H13" s="76"/>
      <c r="I13" s="77" t="s">
        <v>48</v>
      </c>
      <c r="J13" s="78" t="s">
        <v>49</v>
      </c>
      <c r="K13" s="78"/>
      <c r="L13" s="78"/>
      <c r="M13" s="79"/>
      <c r="N13" s="5"/>
      <c r="O13" s="5"/>
    </row>
    <row r="14" customFormat="false" ht="46.25" hidden="false" customHeight="false" outlineLevel="0" collapsed="false">
      <c r="A14" s="15" t="b">
        <f aca="false">TRUE()</f>
        <v>1</v>
      </c>
      <c r="B14" s="61" t="b">
        <f aca="false">TRUE()</f>
        <v>1</v>
      </c>
      <c r="C14" s="80"/>
      <c r="D14" s="81" t="n">
        <v>12</v>
      </c>
      <c r="E14" s="81" t="s">
        <v>50</v>
      </c>
      <c r="F14" s="82" t="s">
        <v>51</v>
      </c>
      <c r="G14" s="83" t="s">
        <v>22</v>
      </c>
      <c r="H14" s="84"/>
      <c r="I14" s="85" t="s">
        <v>52</v>
      </c>
      <c r="J14" s="86" t="s">
        <v>32</v>
      </c>
      <c r="K14" s="86"/>
      <c r="L14" s="86"/>
      <c r="M14" s="87"/>
      <c r="N14" s="5"/>
      <c r="O14" s="5"/>
    </row>
    <row r="15" s="183" customFormat="true" ht="16.4" hidden="false" customHeight="false" outlineLevel="0" collapsed="false">
      <c r="A15" s="15" t="b">
        <f aca="false">TRUE()</f>
        <v>1</v>
      </c>
      <c r="B15" s="61" t="b">
        <f aca="false">TRUE()</f>
        <v>1</v>
      </c>
      <c r="C15" s="80"/>
      <c r="D15" s="81" t="n">
        <v>1</v>
      </c>
      <c r="E15" s="81" t="s">
        <v>53</v>
      </c>
      <c r="F15" s="82" t="s">
        <v>54</v>
      </c>
      <c r="G15" s="83" t="s">
        <v>22</v>
      </c>
      <c r="H15" s="84"/>
      <c r="I15" s="85" t="s">
        <v>55</v>
      </c>
      <c r="J15" s="86" t="s">
        <v>56</v>
      </c>
      <c r="K15" s="86"/>
      <c r="L15" s="86"/>
      <c r="M15" s="87"/>
      <c r="N15" s="88"/>
      <c r="O15" s="88"/>
    </row>
    <row r="16" s="184" customFormat="true" ht="16.4" hidden="false" customHeight="false" outlineLevel="0" collapsed="false">
      <c r="A16" s="15" t="b">
        <f aca="false">TRUE()</f>
        <v>1</v>
      </c>
      <c r="B16" s="89" t="b">
        <f aca="false">TRUE()</f>
        <v>1</v>
      </c>
      <c r="C16" s="90"/>
      <c r="D16" s="91" t="n">
        <v>2</v>
      </c>
      <c r="E16" s="91" t="s">
        <v>57</v>
      </c>
      <c r="F16" s="92" t="s">
        <v>58</v>
      </c>
      <c r="G16" s="93" t="s">
        <v>22</v>
      </c>
      <c r="H16" s="94"/>
      <c r="I16" s="95" t="s">
        <v>59</v>
      </c>
      <c r="J16" s="96" t="s">
        <v>60</v>
      </c>
      <c r="K16" s="96"/>
      <c r="L16" s="96"/>
      <c r="M16" s="97"/>
      <c r="N16" s="98"/>
      <c r="O16" s="98"/>
    </row>
    <row r="17" customFormat="false" ht="15" hidden="false" customHeight="false" outlineLevel="0" collapsed="false">
      <c r="A17" s="15" t="b">
        <f aca="false">TRUE()</f>
        <v>1</v>
      </c>
      <c r="B17" s="15" t="b">
        <f aca="false">FALSE()</f>
        <v>0</v>
      </c>
      <c r="C17" s="99" t="s">
        <v>61</v>
      </c>
      <c r="D17" s="100" t="n">
        <v>1</v>
      </c>
      <c r="E17" s="100" t="s">
        <v>62</v>
      </c>
      <c r="F17" s="101" t="s">
        <v>63</v>
      </c>
      <c r="G17" s="102" t="s">
        <v>64</v>
      </c>
      <c r="H17" s="103"/>
      <c r="I17" s="104" t="s">
        <v>65</v>
      </c>
      <c r="J17" s="105" t="s">
        <v>66</v>
      </c>
      <c r="K17" s="106"/>
      <c r="L17" s="106"/>
      <c r="M17" s="107"/>
      <c r="N17" s="5"/>
      <c r="O17" s="5"/>
    </row>
    <row r="18" customFormat="false" ht="15" hidden="false" customHeight="false" outlineLevel="0" collapsed="false">
      <c r="A18" s="15" t="b">
        <f aca="false">TRUE()</f>
        <v>1</v>
      </c>
      <c r="B18" s="61" t="b">
        <f aca="false">TRUE()</f>
        <v>1</v>
      </c>
      <c r="C18" s="108"/>
      <c r="D18" s="109" t="n">
        <v>1</v>
      </c>
      <c r="E18" s="109" t="s">
        <v>67</v>
      </c>
      <c r="F18" s="110" t="s">
        <v>68</v>
      </c>
      <c r="G18" s="111" t="s">
        <v>69</v>
      </c>
      <c r="H18" s="112"/>
      <c r="I18" s="113" t="s">
        <v>70</v>
      </c>
      <c r="J18" s="114" t="n">
        <v>1210</v>
      </c>
      <c r="K18" s="115"/>
      <c r="L18" s="115"/>
      <c r="M18" s="116"/>
      <c r="N18" s="5"/>
      <c r="O18" s="5"/>
    </row>
    <row r="19" customFormat="false" ht="15" hidden="false" customHeight="false" outlineLevel="0" collapsed="false">
      <c r="A19" s="15" t="b">
        <f aca="false">TRUE()</f>
        <v>1</v>
      </c>
      <c r="B19" s="61" t="b">
        <f aca="false">FALSE()</f>
        <v>0</v>
      </c>
      <c r="C19" s="108"/>
      <c r="D19" s="109" t="n">
        <v>3</v>
      </c>
      <c r="E19" s="109" t="s">
        <v>71</v>
      </c>
      <c r="F19" s="110" t="s">
        <v>72</v>
      </c>
      <c r="G19" s="111" t="s">
        <v>73</v>
      </c>
      <c r="H19" s="112"/>
      <c r="I19" s="117" t="s">
        <v>74</v>
      </c>
      <c r="J19" s="114" t="s">
        <v>66</v>
      </c>
      <c r="K19" s="115"/>
      <c r="L19" s="115"/>
      <c r="M19" s="116"/>
      <c r="N19" s="5"/>
      <c r="O19" s="5"/>
    </row>
    <row r="20" customFormat="false" ht="16.4" hidden="false" customHeight="false" outlineLevel="0" collapsed="false">
      <c r="A20" s="15" t="b">
        <f aca="false">TRUE()</f>
        <v>1</v>
      </c>
      <c r="B20" s="61" t="b">
        <f aca="false">TRUE()</f>
        <v>1</v>
      </c>
      <c r="C20" s="108"/>
      <c r="D20" s="118" t="n">
        <v>2</v>
      </c>
      <c r="E20" s="118" t="s">
        <v>75</v>
      </c>
      <c r="F20" s="119" t="s">
        <v>76</v>
      </c>
      <c r="G20" s="111" t="s">
        <v>77</v>
      </c>
      <c r="H20" s="120"/>
      <c r="I20" s="121" t="s">
        <v>78</v>
      </c>
      <c r="J20" s="114" t="s">
        <v>79</v>
      </c>
      <c r="K20" s="115"/>
      <c r="L20" s="115"/>
      <c r="M20" s="116"/>
      <c r="N20" s="5"/>
      <c r="O20" s="5"/>
    </row>
    <row r="21" customFormat="false" ht="16.4" hidden="false" customHeight="false" outlineLevel="0" collapsed="false">
      <c r="A21" s="15" t="b">
        <f aca="false">FALSE()</f>
        <v>0</v>
      </c>
      <c r="B21" s="61" t="b">
        <f aca="false">FALSE()</f>
        <v>0</v>
      </c>
      <c r="C21" s="108"/>
      <c r="D21" s="118" t="n">
        <v>2</v>
      </c>
      <c r="E21" s="118" t="s">
        <v>22</v>
      </c>
      <c r="F21" s="119" t="s">
        <v>80</v>
      </c>
      <c r="G21" s="111" t="s">
        <v>81</v>
      </c>
      <c r="H21" s="120"/>
      <c r="I21" s="121" t="s">
        <v>22</v>
      </c>
      <c r="J21" s="114" t="s">
        <v>66</v>
      </c>
      <c r="K21" s="115"/>
      <c r="L21" s="115"/>
      <c r="M21" s="116"/>
      <c r="N21" s="5"/>
      <c r="O21" s="5"/>
    </row>
    <row r="22" customFormat="false" ht="16.4" hidden="false" customHeight="false" outlineLevel="0" collapsed="false">
      <c r="A22" s="15" t="b">
        <f aca="false">TRUE()</f>
        <v>1</v>
      </c>
      <c r="B22" s="61" t="b">
        <f aca="false">TRUE()</f>
        <v>1</v>
      </c>
      <c r="C22" s="108"/>
      <c r="D22" s="118" t="n">
        <v>1</v>
      </c>
      <c r="E22" s="109" t="s">
        <v>82</v>
      </c>
      <c r="F22" s="119" t="s">
        <v>83</v>
      </c>
      <c r="G22" s="111" t="s">
        <v>84</v>
      </c>
      <c r="H22" s="112"/>
      <c r="I22" s="117" t="s">
        <v>85</v>
      </c>
      <c r="J22" s="114" t="n">
        <v>2010</v>
      </c>
      <c r="K22" s="115"/>
      <c r="L22" s="115"/>
      <c r="M22" s="116"/>
      <c r="N22" s="5"/>
      <c r="O22" s="5"/>
    </row>
    <row r="23" customFormat="false" ht="16.4" hidden="false" customHeight="false" outlineLevel="0" collapsed="false">
      <c r="A23" s="15" t="b">
        <f aca="false">TRUE()</f>
        <v>1</v>
      </c>
      <c r="B23" s="61" t="b">
        <f aca="false">FALSE()</f>
        <v>0</v>
      </c>
      <c r="C23" s="108"/>
      <c r="D23" s="118" t="n">
        <v>1</v>
      </c>
      <c r="E23" s="109" t="s">
        <v>86</v>
      </c>
      <c r="F23" s="119" t="s">
        <v>87</v>
      </c>
      <c r="G23" s="111" t="s">
        <v>88</v>
      </c>
      <c r="H23" s="112"/>
      <c r="I23" s="117" t="s">
        <v>89</v>
      </c>
      <c r="J23" s="114" t="s">
        <v>66</v>
      </c>
      <c r="K23" s="115"/>
      <c r="L23" s="115"/>
      <c r="M23" s="116"/>
      <c r="N23" s="5"/>
      <c r="O23" s="5"/>
    </row>
    <row r="24" customFormat="false" ht="16.4" hidden="false" customHeight="false" outlineLevel="0" collapsed="false">
      <c r="A24" s="15" t="b">
        <f aca="false">TRUE()</f>
        <v>1</v>
      </c>
      <c r="B24" s="61" t="b">
        <f aca="false">FALSE()</f>
        <v>0</v>
      </c>
      <c r="C24" s="108"/>
      <c r="D24" s="118" t="n">
        <v>2</v>
      </c>
      <c r="E24" s="122" t="n">
        <v>560112110017</v>
      </c>
      <c r="F24" s="119" t="s">
        <v>90</v>
      </c>
      <c r="G24" s="111" t="n">
        <v>47</v>
      </c>
      <c r="H24" s="120"/>
      <c r="I24" s="121" t="s">
        <v>91</v>
      </c>
      <c r="J24" s="114" t="s">
        <v>66</v>
      </c>
      <c r="K24" s="115"/>
      <c r="L24" s="115"/>
      <c r="M24" s="116"/>
      <c r="N24" s="5"/>
      <c r="O24" s="5"/>
    </row>
    <row r="25" customFormat="false" ht="16.4" hidden="false" customHeight="false" outlineLevel="0" collapsed="false">
      <c r="A25" s="15" t="b">
        <f aca="false">TRUE()</f>
        <v>1</v>
      </c>
      <c r="B25" s="61" t="b">
        <f aca="false">FALSE()</f>
        <v>0</v>
      </c>
      <c r="C25" s="108"/>
      <c r="D25" s="118" t="n">
        <v>2</v>
      </c>
      <c r="E25" s="118" t="s">
        <v>92</v>
      </c>
      <c r="F25" s="119" t="s">
        <v>93</v>
      </c>
      <c r="G25" s="111" t="s">
        <v>94</v>
      </c>
      <c r="H25" s="120"/>
      <c r="I25" s="121" t="s">
        <v>95</v>
      </c>
      <c r="J25" s="114" t="s">
        <v>66</v>
      </c>
      <c r="K25" s="115"/>
      <c r="L25" s="115"/>
      <c r="M25" s="116"/>
      <c r="N25" s="5"/>
      <c r="O25" s="5"/>
    </row>
    <row r="26" customFormat="false" ht="16.4" hidden="false" customHeight="false" outlineLevel="0" collapsed="false">
      <c r="A26" s="15" t="b">
        <f aca="false">TRUE()</f>
        <v>1</v>
      </c>
      <c r="B26" s="24" t="b">
        <f aca="false">FALSE()</f>
        <v>0</v>
      </c>
      <c r="C26" s="123"/>
      <c r="D26" s="124" t="n">
        <v>2</v>
      </c>
      <c r="E26" s="124" t="s">
        <v>96</v>
      </c>
      <c r="F26" s="125" t="s">
        <v>97</v>
      </c>
      <c r="G26" s="126" t="s">
        <v>98</v>
      </c>
      <c r="H26" s="127"/>
      <c r="I26" s="128" t="s">
        <v>99</v>
      </c>
      <c r="J26" s="114" t="s">
        <v>66</v>
      </c>
      <c r="K26" s="129"/>
      <c r="L26" s="129"/>
      <c r="M26" s="130"/>
      <c r="N26" s="5"/>
      <c r="O26" s="5"/>
    </row>
    <row r="27" s="180" customFormat="true" ht="16.4" hidden="false" customHeight="false" outlineLevel="0" collapsed="false">
      <c r="A27" s="15" t="b">
        <f aca="false">TRUE()</f>
        <v>1</v>
      </c>
      <c r="B27" s="33" t="b">
        <f aca="false">FALSE()</f>
        <v>0</v>
      </c>
      <c r="C27" s="131"/>
      <c r="D27" s="132" t="n">
        <v>1</v>
      </c>
      <c r="E27" s="132" t="s">
        <v>100</v>
      </c>
      <c r="F27" s="133" t="s">
        <v>101</v>
      </c>
      <c r="G27" s="134" t="s">
        <v>102</v>
      </c>
      <c r="H27" s="135"/>
      <c r="I27" s="136" t="s">
        <v>103</v>
      </c>
      <c r="J27" s="114" t="s">
        <v>66</v>
      </c>
      <c r="K27" s="137"/>
      <c r="L27" s="137"/>
      <c r="M27" s="138"/>
      <c r="N27" s="14"/>
      <c r="O27" s="14"/>
    </row>
    <row r="28" customFormat="false" ht="16.4" hidden="false" customHeight="false" outlineLevel="0" collapsed="false">
      <c r="A28" s="139" t="b">
        <f aca="false">TRUE()</f>
        <v>1</v>
      </c>
      <c r="B28" s="139" t="b">
        <f aca="false">TRUE()</f>
        <v>1</v>
      </c>
      <c r="C28" s="140" t="s">
        <v>104</v>
      </c>
      <c r="D28" s="141" t="n">
        <v>1</v>
      </c>
      <c r="E28" s="142" t="s">
        <v>105</v>
      </c>
      <c r="F28" s="143" t="s">
        <v>106</v>
      </c>
      <c r="G28" s="141" t="s">
        <v>22</v>
      </c>
      <c r="H28" s="144"/>
      <c r="I28" s="145" t="s">
        <v>107</v>
      </c>
      <c r="J28" s="146"/>
      <c r="K28" s="146"/>
      <c r="L28" s="146"/>
      <c r="M28" s="147"/>
      <c r="N28" s="5"/>
      <c r="O28" s="5"/>
    </row>
    <row r="29" s="180" customFormat="true" ht="15" hidden="false" customHeight="false" outlineLevel="0" collapsed="false">
      <c r="A29" s="148" t="b">
        <f aca="false">FALSE()</f>
        <v>0</v>
      </c>
      <c r="B29" s="33" t="b">
        <f aca="false">FALSE()</f>
        <v>0</v>
      </c>
      <c r="C29" s="149"/>
      <c r="D29" s="150"/>
      <c r="E29" s="151"/>
      <c r="F29" s="152"/>
      <c r="G29" s="150"/>
      <c r="H29" s="153"/>
      <c r="I29" s="154"/>
      <c r="J29" s="155"/>
      <c r="K29" s="155"/>
      <c r="L29" s="155"/>
      <c r="M29" s="156"/>
      <c r="N29" s="14"/>
      <c r="O29" s="14"/>
    </row>
    <row r="30" customFormat="false" ht="15" hidden="false" customHeight="false" outlineLevel="0" collapsed="false">
      <c r="A30" s="15" t="b">
        <f aca="false">TRUE()</f>
        <v>1</v>
      </c>
      <c r="B30" s="157" t="b">
        <f aca="false">TRUE()</f>
        <v>1</v>
      </c>
      <c r="C30" s="158" t="s">
        <v>108</v>
      </c>
      <c r="D30" s="159" t="n">
        <v>2</v>
      </c>
      <c r="E30" s="142" t="s">
        <v>109</v>
      </c>
      <c r="F30" s="160"/>
      <c r="G30" s="160"/>
      <c r="H30" s="160"/>
      <c r="I30" s="160"/>
      <c r="J30" s="160"/>
      <c r="K30" s="160"/>
      <c r="L30" s="160"/>
      <c r="M30" s="161"/>
      <c r="N30" s="5"/>
      <c r="O30" s="5"/>
    </row>
    <row r="31" customFormat="false" ht="15" hidden="false" customHeight="false" outlineLevel="0" collapsed="false">
      <c r="A31" s="15" t="b">
        <f aca="false">TRUE()</f>
        <v>1</v>
      </c>
      <c r="B31" s="61" t="b">
        <f aca="false">TRUE()</f>
        <v>1</v>
      </c>
      <c r="C31" s="162"/>
      <c r="D31" s="163" t="n">
        <v>2</v>
      </c>
      <c r="E31" s="164" t="s">
        <v>110</v>
      </c>
      <c r="F31" s="165" t="s">
        <v>111</v>
      </c>
      <c r="G31" s="163" t="s">
        <v>22</v>
      </c>
      <c r="H31" s="166"/>
      <c r="I31" s="167" t="s">
        <v>112</v>
      </c>
      <c r="J31" s="168"/>
      <c r="K31" s="168"/>
      <c r="L31" s="168"/>
      <c r="M31" s="169"/>
      <c r="N31" s="5"/>
      <c r="O31" s="5"/>
    </row>
    <row r="32" s="181" customFormat="true" ht="15" hidden="false" customHeight="false" outlineLevel="0" collapsed="false">
      <c r="A32" s="170" t="b">
        <f aca="false">TRUE()</f>
        <v>1</v>
      </c>
      <c r="B32" s="171" t="b">
        <f aca="false">TRUE()</f>
        <v>1</v>
      </c>
      <c r="C32" s="172"/>
      <c r="D32" s="173" t="n">
        <v>1</v>
      </c>
      <c r="E32" s="173" t="s">
        <v>113</v>
      </c>
      <c r="F32" s="174"/>
      <c r="G32" s="175" t="s">
        <v>22</v>
      </c>
      <c r="H32" s="176"/>
      <c r="I32" s="177" t="s">
        <v>114</v>
      </c>
      <c r="J32" s="178"/>
      <c r="K32" s="178"/>
      <c r="L32" s="178"/>
      <c r="M32" s="179"/>
      <c r="N32" s="60"/>
      <c r="O32" s="60"/>
    </row>
    <row r="36" customFormat="false" ht="15" hidden="false" customHeight="false" outlineLevel="0" collapsed="false">
      <c r="E36" s="1" t="s">
        <v>115</v>
      </c>
      <c r="F36" s="1" t="s">
        <v>116</v>
      </c>
    </row>
  </sheetData>
  <mergeCells count="2">
    <mergeCell ref="E1:M2"/>
    <mergeCell ref="E3:M4"/>
  </mergeCells>
  <conditionalFormatting sqref="A6:B32">
    <cfRule type="cellIs" priority="2" operator="equal" aboveAverage="0" equalAverage="0" bottom="0" percent="0" rank="0" text="" dxfId="0">
      <formula>1</formula>
    </cfRule>
    <cfRule type="cellIs" priority="3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G38" activeCellId="0" sqref="G3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43"/>
    <col collapsed="false" customWidth="true" hidden="false" outlineLevel="0" max="2" min="2" style="1" width="11.86"/>
    <col collapsed="false" customWidth="true" hidden="false" outlineLevel="0" max="3" min="3" style="1" width="28.14"/>
    <col collapsed="false" customWidth="true" hidden="false" outlineLevel="0" max="4" min="4" style="1" width="16.29"/>
    <col collapsed="false" customWidth="true" hidden="false" outlineLevel="0" max="5" min="5" style="1" width="9.86"/>
    <col collapsed="false" customWidth="true" hidden="false" outlineLevel="0" max="6" min="6" style="1" width="6.29"/>
    <col collapsed="false" customWidth="true" hidden="false" outlineLevel="0" max="7" min="7" style="1" width="121.57"/>
    <col collapsed="false" customWidth="true" hidden="false" outlineLevel="0" max="8" min="8" style="1" width="59.43"/>
    <col collapsed="false" customWidth="true" hidden="false" outlineLevel="0" max="9" min="9" style="1" width="21.43"/>
    <col collapsed="false" customWidth="true" hidden="false" outlineLevel="0" max="10" min="10" style="1" width="11.72"/>
    <col collapsed="false" customWidth="true" hidden="false" outlineLevel="0" max="11" min="11" style="1" width="6.14"/>
    <col collapsed="false" customWidth="true" hidden="false" outlineLevel="0" max="12" min="12" style="1" width="21.71"/>
  </cols>
  <sheetData>
    <row r="1" customFormat="false" ht="15.75" hidden="false" customHeight="true" outlineLevel="0" collapsed="false">
      <c r="A1" s="2" t="s">
        <v>0</v>
      </c>
      <c r="B1" s="3" t="n">
        <v>1</v>
      </c>
      <c r="C1" s="4" t="s">
        <v>1</v>
      </c>
      <c r="D1" s="4"/>
      <c r="E1" s="4"/>
      <c r="F1" s="4"/>
      <c r="G1" s="4"/>
      <c r="H1" s="4"/>
      <c r="I1" s="4"/>
      <c r="J1" s="4"/>
      <c r="K1" s="4"/>
      <c r="L1" s="5"/>
      <c r="M1" s="5"/>
    </row>
    <row r="2" customFormat="false" ht="15.75" hidden="false" customHeight="true" outlineLevel="0" collapsed="false">
      <c r="A2" s="6" t="s">
        <v>2</v>
      </c>
      <c r="B2" s="3" t="n">
        <v>1</v>
      </c>
      <c r="C2" s="4"/>
      <c r="D2" s="4"/>
      <c r="E2" s="4"/>
      <c r="F2" s="4"/>
      <c r="G2" s="4"/>
      <c r="H2" s="4"/>
      <c r="I2" s="4"/>
      <c r="J2" s="4"/>
      <c r="K2" s="4"/>
      <c r="L2" s="5"/>
      <c r="M2" s="5"/>
    </row>
    <row r="3" customFormat="false" ht="15.75" hidden="false" customHeight="true" outlineLevel="0" collapsed="false">
      <c r="A3" s="6" t="s">
        <v>3</v>
      </c>
      <c r="B3" s="3" t="n">
        <v>1</v>
      </c>
      <c r="C3" s="7" t="s">
        <v>4</v>
      </c>
      <c r="D3" s="7"/>
      <c r="E3" s="7"/>
      <c r="F3" s="7"/>
      <c r="G3" s="7"/>
      <c r="H3" s="7"/>
      <c r="I3" s="7"/>
      <c r="J3" s="7"/>
      <c r="K3" s="7"/>
      <c r="L3" s="5"/>
      <c r="M3" s="5"/>
    </row>
    <row r="4" customFormat="false" ht="15.75" hidden="false" customHeight="true" outlineLevel="0" collapsed="false">
      <c r="A4" s="8" t="s">
        <v>5</v>
      </c>
      <c r="B4" s="9" t="n">
        <v>46017</v>
      </c>
      <c r="C4" s="7"/>
      <c r="D4" s="7"/>
      <c r="E4" s="7"/>
      <c r="F4" s="7"/>
      <c r="G4" s="7"/>
      <c r="H4" s="7"/>
      <c r="I4" s="7"/>
      <c r="J4" s="7"/>
      <c r="K4" s="7"/>
      <c r="L4" s="5"/>
      <c r="M4" s="5"/>
    </row>
    <row r="5" s="180" customFormat="true" ht="15" hidden="false" customHeight="false" outlineLevel="0" collapsed="false">
      <c r="A5" s="10" t="s">
        <v>8</v>
      </c>
      <c r="B5" s="11" t="s">
        <v>9</v>
      </c>
      <c r="C5" s="11" t="s">
        <v>10</v>
      </c>
      <c r="D5" s="11" t="s">
        <v>11</v>
      </c>
      <c r="E5" s="11" t="s">
        <v>12</v>
      </c>
      <c r="F5" s="11" t="s">
        <v>13</v>
      </c>
      <c r="G5" s="12" t="s">
        <v>14</v>
      </c>
      <c r="H5" s="11" t="s">
        <v>15</v>
      </c>
      <c r="I5" s="11" t="s">
        <v>16</v>
      </c>
      <c r="J5" s="11" t="s">
        <v>17</v>
      </c>
      <c r="K5" s="13" t="s">
        <v>18</v>
      </c>
      <c r="L5" s="14"/>
      <c r="M5" s="14"/>
    </row>
    <row r="6" customFormat="false" ht="15" hidden="false" customHeight="false" outlineLevel="0" collapsed="false">
      <c r="A6" s="185" t="s">
        <v>19</v>
      </c>
      <c r="B6" s="17" t="n">
        <v>1</v>
      </c>
      <c r="C6" s="17" t="s">
        <v>20</v>
      </c>
      <c r="D6" s="18" t="s">
        <v>21</v>
      </c>
      <c r="E6" s="19" t="s">
        <v>22</v>
      </c>
      <c r="F6" s="20"/>
      <c r="G6" s="21" t="s">
        <v>23</v>
      </c>
      <c r="H6" s="22" t="s">
        <v>24</v>
      </c>
      <c r="I6" s="22"/>
      <c r="J6" s="22"/>
      <c r="K6" s="23"/>
      <c r="L6" s="5"/>
      <c r="M6" s="5"/>
    </row>
    <row r="7" customFormat="false" ht="15" hidden="false" customHeight="false" outlineLevel="0" collapsed="false">
      <c r="A7" s="186"/>
      <c r="B7" s="26" t="n">
        <v>1</v>
      </c>
      <c r="C7" s="26" t="s">
        <v>25</v>
      </c>
      <c r="D7" s="27" t="s">
        <v>26</v>
      </c>
      <c r="E7" s="28" t="s">
        <v>22</v>
      </c>
      <c r="F7" s="29"/>
      <c r="G7" s="30" t="s">
        <v>27</v>
      </c>
      <c r="H7" s="31" t="s">
        <v>28</v>
      </c>
      <c r="I7" s="31"/>
      <c r="J7" s="31"/>
      <c r="K7" s="32"/>
      <c r="L7" s="5"/>
      <c r="M7" s="5"/>
    </row>
    <row r="8" s="180" customFormat="true" ht="15" hidden="false" customHeight="false" outlineLevel="0" collapsed="false">
      <c r="A8" s="187"/>
      <c r="B8" s="35" t="n">
        <v>1</v>
      </c>
      <c r="C8" s="35" t="s">
        <v>29</v>
      </c>
      <c r="D8" s="36" t="s">
        <v>30</v>
      </c>
      <c r="E8" s="37" t="s">
        <v>22</v>
      </c>
      <c r="F8" s="38"/>
      <c r="G8" s="39" t="s">
        <v>31</v>
      </c>
      <c r="H8" s="40" t="s">
        <v>32</v>
      </c>
      <c r="I8" s="40"/>
      <c r="J8" s="40"/>
      <c r="K8" s="41"/>
      <c r="L8" s="14"/>
      <c r="M8" s="14"/>
    </row>
    <row r="9" customFormat="false" ht="16.4" hidden="false" customHeight="false" outlineLevel="0" collapsed="false">
      <c r="A9" s="188" t="s">
        <v>33</v>
      </c>
      <c r="B9" s="43" t="n">
        <v>1</v>
      </c>
      <c r="C9" s="44" t="s">
        <v>34</v>
      </c>
      <c r="D9" s="45" t="s">
        <v>35</v>
      </c>
      <c r="E9" s="46" t="s">
        <v>22</v>
      </c>
      <c r="F9" s="47"/>
      <c r="G9" s="48" t="s">
        <v>36</v>
      </c>
      <c r="H9" s="49"/>
      <c r="I9" s="49"/>
      <c r="J9" s="49"/>
      <c r="K9" s="50"/>
      <c r="L9" s="5"/>
      <c r="M9" s="5"/>
    </row>
    <row r="10" s="181" customFormat="true" ht="16.4" hidden="false" customHeight="false" outlineLevel="0" collapsed="false">
      <c r="A10" s="189"/>
      <c r="B10" s="53" t="n">
        <v>2</v>
      </c>
      <c r="C10" s="53" t="s">
        <v>22</v>
      </c>
      <c r="D10" s="54" t="s">
        <v>117</v>
      </c>
      <c r="E10" s="55" t="s">
        <v>22</v>
      </c>
      <c r="F10" s="56"/>
      <c r="G10" s="57" t="s">
        <v>38</v>
      </c>
      <c r="H10" s="58"/>
      <c r="I10" s="58"/>
      <c r="J10" s="58"/>
      <c r="K10" s="59"/>
      <c r="L10" s="60"/>
      <c r="M10" s="60"/>
    </row>
    <row r="11" customFormat="false" ht="31.3" hidden="false" customHeight="false" outlineLevel="0" collapsed="false">
      <c r="A11" s="190"/>
      <c r="B11" s="53" t="n">
        <v>1</v>
      </c>
      <c r="C11" s="53" t="n">
        <v>5005</v>
      </c>
      <c r="D11" s="54" t="s">
        <v>39</v>
      </c>
      <c r="E11" s="55" t="s">
        <v>22</v>
      </c>
      <c r="F11" s="56"/>
      <c r="G11" s="57" t="s">
        <v>40</v>
      </c>
      <c r="H11" s="58" t="s">
        <v>41</v>
      </c>
      <c r="I11" s="58"/>
      <c r="J11" s="58"/>
      <c r="K11" s="59"/>
    </row>
    <row r="12" customFormat="false" ht="15" hidden="false" customHeight="false" outlineLevel="0" collapsed="false">
      <c r="A12" s="191"/>
      <c r="B12" s="192" t="n">
        <v>2</v>
      </c>
      <c r="C12" s="192" t="s">
        <v>110</v>
      </c>
      <c r="D12" s="193" t="s">
        <v>111</v>
      </c>
      <c r="E12" s="194" t="s">
        <v>22</v>
      </c>
      <c r="F12" s="195"/>
      <c r="G12" s="196" t="s">
        <v>112</v>
      </c>
      <c r="H12" s="197"/>
      <c r="I12" s="197"/>
      <c r="J12" s="197"/>
      <c r="K12" s="198"/>
      <c r="L12" s="5"/>
      <c r="M12" s="5"/>
    </row>
    <row r="13" s="182" customFormat="true" ht="15" hidden="false" customHeight="false" outlineLevel="0" collapsed="false">
      <c r="A13" s="199"/>
      <c r="B13" s="64" t="n">
        <v>1</v>
      </c>
      <c r="C13" s="64" t="s">
        <v>42</v>
      </c>
      <c r="D13" s="65" t="s">
        <v>43</v>
      </c>
      <c r="E13" s="66" t="s">
        <v>22</v>
      </c>
      <c r="F13" s="67"/>
      <c r="G13" s="68" t="s">
        <v>44</v>
      </c>
      <c r="H13" s="69"/>
      <c r="I13" s="69"/>
      <c r="J13" s="69"/>
      <c r="K13" s="70"/>
      <c r="L13" s="71"/>
      <c r="M13" s="71"/>
    </row>
    <row r="14" customFormat="false" ht="15.75" hidden="false" customHeight="false" outlineLevel="0" collapsed="false">
      <c r="A14" s="200" t="s">
        <v>45</v>
      </c>
      <c r="B14" s="73" t="n">
        <v>1</v>
      </c>
      <c r="C14" s="73" t="s">
        <v>46</v>
      </c>
      <c r="D14" s="74" t="s">
        <v>47</v>
      </c>
      <c r="E14" s="75" t="s">
        <v>22</v>
      </c>
      <c r="F14" s="76"/>
      <c r="G14" s="77" t="s">
        <v>48</v>
      </c>
      <c r="H14" s="78" t="s">
        <v>49</v>
      </c>
      <c r="I14" s="78"/>
      <c r="J14" s="78"/>
      <c r="K14" s="79"/>
      <c r="L14" s="5"/>
      <c r="M14" s="5"/>
    </row>
    <row r="15" customFormat="false" ht="46.25" hidden="false" customHeight="false" outlineLevel="0" collapsed="false">
      <c r="A15" s="201"/>
      <c r="B15" s="81" t="n">
        <v>12</v>
      </c>
      <c r="C15" s="81" t="s">
        <v>50</v>
      </c>
      <c r="D15" s="82" t="s">
        <v>51</v>
      </c>
      <c r="E15" s="83" t="s">
        <v>22</v>
      </c>
      <c r="F15" s="84"/>
      <c r="G15" s="85" t="s">
        <v>52</v>
      </c>
      <c r="H15" s="86" t="s">
        <v>32</v>
      </c>
      <c r="I15" s="86"/>
      <c r="J15" s="86"/>
      <c r="K15" s="87"/>
      <c r="L15" s="5"/>
      <c r="M15" s="5"/>
    </row>
    <row r="16" s="183" customFormat="true" ht="16.4" hidden="false" customHeight="false" outlineLevel="0" collapsed="false">
      <c r="A16" s="201"/>
      <c r="B16" s="81" t="n">
        <v>1</v>
      </c>
      <c r="C16" s="81" t="s">
        <v>53</v>
      </c>
      <c r="D16" s="82" t="s">
        <v>54</v>
      </c>
      <c r="E16" s="83" t="s">
        <v>22</v>
      </c>
      <c r="F16" s="84"/>
      <c r="G16" s="85" t="s">
        <v>55</v>
      </c>
      <c r="H16" s="86" t="s">
        <v>56</v>
      </c>
      <c r="I16" s="86"/>
      <c r="J16" s="86"/>
      <c r="K16" s="87"/>
      <c r="L16" s="88"/>
      <c r="M16" s="88"/>
    </row>
    <row r="17" s="184" customFormat="true" ht="16.4" hidden="false" customHeight="false" outlineLevel="0" collapsed="false">
      <c r="A17" s="202"/>
      <c r="B17" s="91" t="n">
        <v>2</v>
      </c>
      <c r="C17" s="91" t="s">
        <v>57</v>
      </c>
      <c r="D17" s="92" t="s">
        <v>58</v>
      </c>
      <c r="E17" s="93" t="s">
        <v>22</v>
      </c>
      <c r="F17" s="94"/>
      <c r="G17" s="95" t="s">
        <v>59</v>
      </c>
      <c r="H17" s="96" t="s">
        <v>60</v>
      </c>
      <c r="I17" s="96"/>
      <c r="J17" s="96"/>
      <c r="K17" s="97"/>
      <c r="L17" s="98"/>
      <c r="M17" s="98"/>
    </row>
    <row r="18" customFormat="false" ht="15" hidden="false" customHeight="false" outlineLevel="0" collapsed="false">
      <c r="A18" s="203" t="s">
        <v>61</v>
      </c>
      <c r="B18" s="100" t="n">
        <v>1</v>
      </c>
      <c r="C18" s="100" t="s">
        <v>62</v>
      </c>
      <c r="D18" s="101" t="s">
        <v>63</v>
      </c>
      <c r="E18" s="102" t="s">
        <v>64</v>
      </c>
      <c r="F18" s="103"/>
      <c r="G18" s="104" t="s">
        <v>65</v>
      </c>
      <c r="H18" s="105" t="s">
        <v>118</v>
      </c>
      <c r="I18" s="106"/>
      <c r="J18" s="106"/>
      <c r="K18" s="107"/>
      <c r="L18" s="5"/>
      <c r="M18" s="5"/>
    </row>
    <row r="19" customFormat="false" ht="15" hidden="false" customHeight="false" outlineLevel="0" collapsed="false">
      <c r="A19" s="204"/>
      <c r="B19" s="109" t="n">
        <v>1</v>
      </c>
      <c r="C19" s="109" t="s">
        <v>67</v>
      </c>
      <c r="D19" s="110" t="s">
        <v>68</v>
      </c>
      <c r="E19" s="111" t="s">
        <v>69</v>
      </c>
      <c r="F19" s="112"/>
      <c r="G19" s="113" t="s">
        <v>70</v>
      </c>
      <c r="H19" s="114" t="s">
        <v>119</v>
      </c>
      <c r="I19" s="115"/>
      <c r="J19" s="115"/>
      <c r="K19" s="116"/>
      <c r="L19" s="5"/>
      <c r="M19" s="5"/>
    </row>
    <row r="20" customFormat="false" ht="15" hidden="false" customHeight="false" outlineLevel="0" collapsed="false">
      <c r="A20" s="204"/>
      <c r="B20" s="109" t="n">
        <v>1</v>
      </c>
      <c r="C20" s="109" t="s">
        <v>71</v>
      </c>
      <c r="D20" s="110" t="s">
        <v>72</v>
      </c>
      <c r="E20" s="111" t="s">
        <v>73</v>
      </c>
      <c r="F20" s="112"/>
      <c r="G20" s="117" t="s">
        <v>74</v>
      </c>
      <c r="H20" s="114" t="s">
        <v>120</v>
      </c>
      <c r="I20" s="115"/>
      <c r="J20" s="115"/>
      <c r="K20" s="116"/>
      <c r="L20" s="5"/>
      <c r="M20" s="5"/>
    </row>
    <row r="21" customFormat="false" ht="16.4" hidden="false" customHeight="false" outlineLevel="0" collapsed="false">
      <c r="A21" s="204"/>
      <c r="B21" s="118" t="n">
        <v>2</v>
      </c>
      <c r="C21" s="118" t="s">
        <v>75</v>
      </c>
      <c r="D21" s="119" t="s">
        <v>76</v>
      </c>
      <c r="E21" s="111" t="s">
        <v>77</v>
      </c>
      <c r="F21" s="120"/>
      <c r="G21" s="121" t="s">
        <v>78</v>
      </c>
      <c r="H21" s="114" t="s">
        <v>121</v>
      </c>
      <c r="I21" s="115"/>
      <c r="J21" s="115"/>
      <c r="K21" s="116"/>
      <c r="L21" s="5"/>
      <c r="M21" s="5"/>
    </row>
    <row r="22" customFormat="false" ht="16.4" hidden="false" customHeight="false" outlineLevel="0" collapsed="false">
      <c r="A22" s="204"/>
      <c r="B22" s="118" t="n">
        <v>1</v>
      </c>
      <c r="C22" s="109" t="s">
        <v>82</v>
      </c>
      <c r="D22" s="119" t="s">
        <v>83</v>
      </c>
      <c r="E22" s="111" t="s">
        <v>84</v>
      </c>
      <c r="F22" s="112"/>
      <c r="G22" s="117" t="s">
        <v>85</v>
      </c>
      <c r="H22" s="114" t="s">
        <v>122</v>
      </c>
      <c r="I22" s="115"/>
      <c r="J22" s="115"/>
      <c r="K22" s="116"/>
      <c r="L22" s="5"/>
      <c r="M22" s="5"/>
    </row>
    <row r="23" customFormat="false" ht="16.4" hidden="false" customHeight="false" outlineLevel="0" collapsed="false">
      <c r="A23" s="204"/>
      <c r="B23" s="118" t="n">
        <v>1</v>
      </c>
      <c r="C23" s="109" t="s">
        <v>86</v>
      </c>
      <c r="D23" s="119" t="s">
        <v>87</v>
      </c>
      <c r="E23" s="111" t="s">
        <v>88</v>
      </c>
      <c r="F23" s="112"/>
      <c r="G23" s="117" t="s">
        <v>89</v>
      </c>
      <c r="H23" s="114" t="s">
        <v>123</v>
      </c>
      <c r="I23" s="115"/>
      <c r="J23" s="115"/>
      <c r="K23" s="116"/>
      <c r="L23" s="5"/>
      <c r="M23" s="5"/>
    </row>
    <row r="24" customFormat="false" ht="16.4" hidden="false" customHeight="false" outlineLevel="0" collapsed="false">
      <c r="A24" s="204"/>
      <c r="B24" s="118" t="n">
        <v>2</v>
      </c>
      <c r="C24" s="122" t="n">
        <v>560112110017</v>
      </c>
      <c r="D24" s="119" t="s">
        <v>90</v>
      </c>
      <c r="E24" s="111" t="n">
        <v>47</v>
      </c>
      <c r="F24" s="120"/>
      <c r="G24" s="121" t="s">
        <v>91</v>
      </c>
      <c r="H24" s="114" t="s">
        <v>123</v>
      </c>
      <c r="I24" s="115"/>
      <c r="J24" s="115"/>
      <c r="K24" s="116"/>
      <c r="L24" s="5"/>
      <c r="M24" s="5"/>
    </row>
    <row r="25" customFormat="false" ht="16.4" hidden="false" customHeight="false" outlineLevel="0" collapsed="false">
      <c r="A25" s="204"/>
      <c r="B25" s="118" t="n">
        <v>2</v>
      </c>
      <c r="C25" s="118" t="s">
        <v>92</v>
      </c>
      <c r="D25" s="119" t="s">
        <v>93</v>
      </c>
      <c r="E25" s="111" t="s">
        <v>94</v>
      </c>
      <c r="F25" s="120"/>
      <c r="G25" s="121" t="s">
        <v>95</v>
      </c>
      <c r="H25" s="114" t="s">
        <v>121</v>
      </c>
      <c r="I25" s="115"/>
      <c r="J25" s="115"/>
      <c r="K25" s="116"/>
      <c r="L25" s="5"/>
      <c r="M25" s="5"/>
    </row>
    <row r="26" customFormat="false" ht="16.4" hidden="false" customHeight="false" outlineLevel="0" collapsed="false">
      <c r="A26" s="205"/>
      <c r="B26" s="124" t="n">
        <v>2</v>
      </c>
      <c r="C26" s="124" t="s">
        <v>96</v>
      </c>
      <c r="D26" s="125" t="s">
        <v>97</v>
      </c>
      <c r="E26" s="126" t="s">
        <v>98</v>
      </c>
      <c r="F26" s="127"/>
      <c r="G26" s="128" t="s">
        <v>99</v>
      </c>
      <c r="H26" s="206" t="s">
        <v>121</v>
      </c>
      <c r="I26" s="129"/>
      <c r="J26" s="129"/>
      <c r="K26" s="130"/>
      <c r="L26" s="5"/>
      <c r="M26" s="5"/>
    </row>
    <row r="27" s="180" customFormat="true" ht="16.4" hidden="false" customHeight="false" outlineLevel="0" collapsed="false">
      <c r="A27" s="207"/>
      <c r="B27" s="132" t="n">
        <v>1</v>
      </c>
      <c r="C27" s="132" t="s">
        <v>100</v>
      </c>
      <c r="D27" s="133" t="s">
        <v>101</v>
      </c>
      <c r="E27" s="134" t="s">
        <v>102</v>
      </c>
      <c r="F27" s="135"/>
      <c r="G27" s="136" t="s">
        <v>103</v>
      </c>
      <c r="H27" s="208" t="s">
        <v>123</v>
      </c>
      <c r="I27" s="137"/>
      <c r="J27" s="137"/>
      <c r="K27" s="138"/>
      <c r="L27" s="14"/>
      <c r="M27" s="14"/>
    </row>
    <row r="28" customFormat="false" ht="16.4" hidden="false" customHeight="false" outlineLevel="0" collapsed="false">
      <c r="A28" s="209" t="s">
        <v>104</v>
      </c>
      <c r="B28" s="142" t="n">
        <v>1</v>
      </c>
      <c r="C28" s="142" t="s">
        <v>105</v>
      </c>
      <c r="D28" s="143" t="s">
        <v>106</v>
      </c>
      <c r="E28" s="141" t="s">
        <v>22</v>
      </c>
      <c r="F28" s="144"/>
      <c r="G28" s="145" t="s">
        <v>107</v>
      </c>
      <c r="H28" s="146"/>
      <c r="I28" s="146"/>
      <c r="J28" s="146"/>
      <c r="K28" s="147"/>
      <c r="L28" s="5"/>
      <c r="M28" s="5"/>
    </row>
    <row r="29" customFormat="false" ht="15" hidden="false" customHeight="false" outlineLevel="0" collapsed="false">
      <c r="A29" s="210"/>
      <c r="B29" s="211"/>
      <c r="C29" s="212"/>
      <c r="D29" s="213"/>
      <c r="E29" s="168"/>
      <c r="F29" s="214"/>
      <c r="G29" s="215"/>
      <c r="H29" s="168"/>
      <c r="I29" s="168"/>
      <c r="J29" s="168"/>
      <c r="K29" s="169"/>
      <c r="L29" s="5"/>
      <c r="M29" s="5"/>
    </row>
    <row r="30" customFormat="false" ht="15" hidden="false" customHeight="false" outlineLevel="0" collapsed="false">
      <c r="A30" s="210"/>
      <c r="B30" s="211"/>
      <c r="C30" s="168"/>
      <c r="D30" s="168"/>
      <c r="E30" s="168"/>
      <c r="F30" s="168"/>
      <c r="G30" s="168"/>
      <c r="H30" s="168"/>
      <c r="I30" s="168"/>
      <c r="J30" s="168"/>
      <c r="K30" s="169"/>
      <c r="L30" s="5"/>
      <c r="M30" s="5"/>
    </row>
    <row r="31" customFormat="false" ht="15" hidden="false" customHeight="false" outlineLevel="0" collapsed="false">
      <c r="A31" s="210"/>
      <c r="B31" s="211"/>
      <c r="C31" s="168"/>
      <c r="D31" s="168"/>
      <c r="E31" s="168"/>
      <c r="F31" s="168"/>
      <c r="G31" s="168"/>
      <c r="H31" s="168"/>
      <c r="I31" s="168"/>
      <c r="J31" s="168"/>
      <c r="K31" s="169"/>
      <c r="L31" s="5"/>
      <c r="M31" s="5"/>
    </row>
    <row r="32" s="181" customFormat="true" ht="15" hidden="false" customHeight="false" outlineLevel="0" collapsed="false">
      <c r="A32" s="216"/>
      <c r="B32" s="217" t="n">
        <v>1</v>
      </c>
      <c r="C32" s="217" t="s">
        <v>113</v>
      </c>
      <c r="D32" s="218"/>
      <c r="E32" s="219" t="s">
        <v>22</v>
      </c>
      <c r="F32" s="220"/>
      <c r="G32" s="221" t="s">
        <v>114</v>
      </c>
      <c r="H32" s="222"/>
      <c r="I32" s="222"/>
      <c r="J32" s="222"/>
      <c r="K32" s="223"/>
      <c r="L32" s="60"/>
      <c r="M32" s="60"/>
    </row>
  </sheetData>
  <mergeCells count="2">
    <mergeCell ref="C1:K2"/>
    <mergeCell ref="C3:K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38" activeCellId="0" sqref="F38"/>
    </sheetView>
  </sheetViews>
  <sheetFormatPr defaultColWidth="8.59765625" defaultRowHeight="15" zeroHeight="false" outlineLevelRow="0" outlineLevelCol="0"/>
  <cols>
    <col collapsed="false" customWidth="true" hidden="false" outlineLevel="0" max="2" min="2" style="1" width="42.29"/>
    <col collapsed="false" customWidth="true" hidden="false" outlineLevel="0" max="4" min="4" style="1" width="5.3"/>
    <col collapsed="false" customWidth="true" hidden="false" outlineLevel="0" max="5" min="5" style="1" width="10.57"/>
    <col collapsed="false" customWidth="true" hidden="false" outlineLevel="0" max="11" min="6" style="1" width="17.3"/>
    <col collapsed="false" customWidth="true" hidden="false" outlineLevel="0" max="12" min="12" style="1" width="16.57"/>
  </cols>
  <sheetData>
    <row r="2" customFormat="false" ht="17.35" hidden="false" customHeight="false" outlineLevel="0" collapsed="false">
      <c r="B2" s="224" t="s">
        <v>124</v>
      </c>
      <c r="D2" s="225" t="s">
        <v>125</v>
      </c>
      <c r="E2" s="226" t="s">
        <v>126</v>
      </c>
      <c r="F2" s="227" t="s">
        <v>127</v>
      </c>
      <c r="G2" s="227"/>
      <c r="H2" s="227"/>
      <c r="I2" s="227"/>
      <c r="J2" s="227"/>
      <c r="K2" s="227"/>
      <c r="L2" s="228" t="s">
        <v>128</v>
      </c>
    </row>
    <row r="3" customFormat="false" ht="17.35" hidden="false" customHeight="false" outlineLevel="0" collapsed="false">
      <c r="B3" s="229" t="s">
        <v>129</v>
      </c>
      <c r="D3" s="230" t="n">
        <v>1</v>
      </c>
      <c r="E3" s="231" t="s">
        <v>130</v>
      </c>
      <c r="F3" s="232" t="s">
        <v>131</v>
      </c>
      <c r="G3" s="233" t="s">
        <v>132</v>
      </c>
      <c r="H3" s="234" t="s">
        <v>133</v>
      </c>
      <c r="I3" s="234" t="s">
        <v>134</v>
      </c>
      <c r="J3" s="234"/>
      <c r="K3" s="235"/>
      <c r="L3" s="236"/>
    </row>
    <row r="4" customFormat="false" ht="17.35" hidden="false" customHeight="false" outlineLevel="0" collapsed="false">
      <c r="B4" s="237" t="s">
        <v>135</v>
      </c>
      <c r="D4" s="238" t="n">
        <v>2</v>
      </c>
      <c r="E4" s="239" t="s">
        <v>136</v>
      </c>
      <c r="F4" s="240" t="s">
        <v>137</v>
      </c>
      <c r="G4" s="241" t="s">
        <v>138</v>
      </c>
      <c r="H4" s="242" t="s">
        <v>139</v>
      </c>
      <c r="I4" s="243" t="s">
        <v>140</v>
      </c>
      <c r="J4" s="243"/>
      <c r="K4" s="244"/>
      <c r="L4" s="245"/>
    </row>
    <row r="5" customFormat="false" ht="17.35" hidden="false" customHeight="false" outlineLevel="0" collapsed="false">
      <c r="B5" s="246" t="s">
        <v>141</v>
      </c>
      <c r="D5" s="238" t="n">
        <v>3</v>
      </c>
      <c r="E5" s="239" t="s">
        <v>142</v>
      </c>
      <c r="F5" s="240" t="s">
        <v>143</v>
      </c>
      <c r="G5" s="241" t="s">
        <v>144</v>
      </c>
      <c r="H5" s="243" t="s">
        <v>145</v>
      </c>
      <c r="I5" s="243" t="s">
        <v>146</v>
      </c>
      <c r="J5" s="243" t="s">
        <v>147</v>
      </c>
      <c r="K5" s="244"/>
      <c r="L5" s="245"/>
    </row>
    <row r="6" customFormat="false" ht="17.35" hidden="false" customHeight="false" outlineLevel="0" collapsed="false">
      <c r="B6" s="247" t="s">
        <v>148</v>
      </c>
      <c r="D6" s="238" t="n">
        <v>4</v>
      </c>
      <c r="E6" s="239" t="s">
        <v>149</v>
      </c>
      <c r="F6" s="240"/>
      <c r="G6" s="243"/>
      <c r="H6" s="243"/>
      <c r="I6" s="243"/>
      <c r="J6" s="243"/>
      <c r="K6" s="244"/>
      <c r="L6" s="245"/>
    </row>
    <row r="7" customFormat="false" ht="17.35" hidden="false" customHeight="false" outlineLevel="0" collapsed="false">
      <c r="B7" s="247" t="s">
        <v>150</v>
      </c>
      <c r="D7" s="238" t="n">
        <v>5</v>
      </c>
      <c r="E7" s="239" t="s">
        <v>151</v>
      </c>
      <c r="F7" s="240" t="s">
        <v>152</v>
      </c>
      <c r="G7" s="243" t="s">
        <v>153</v>
      </c>
      <c r="H7" s="248" t="s">
        <v>154</v>
      </c>
      <c r="I7" s="249" t="s">
        <v>155</v>
      </c>
      <c r="J7" s="243"/>
      <c r="K7" s="244"/>
      <c r="L7" s="245"/>
    </row>
    <row r="8" customFormat="false" ht="17.35" hidden="false" customHeight="false" outlineLevel="0" collapsed="false">
      <c r="B8" s="247" t="s">
        <v>156</v>
      </c>
      <c r="D8" s="238" t="n">
        <v>6</v>
      </c>
      <c r="E8" s="239" t="s">
        <v>157</v>
      </c>
      <c r="F8" s="240"/>
      <c r="G8" s="243"/>
      <c r="H8" s="243"/>
      <c r="I8" s="243"/>
      <c r="J8" s="243"/>
      <c r="K8" s="244"/>
      <c r="L8" s="245"/>
    </row>
    <row r="9" customFormat="false" ht="17.35" hidden="false" customHeight="false" outlineLevel="0" collapsed="false">
      <c r="B9" s="250" t="s">
        <v>158</v>
      </c>
      <c r="D9" s="238" t="n">
        <v>7</v>
      </c>
      <c r="E9" s="239" t="s">
        <v>159</v>
      </c>
      <c r="F9" s="251" t="s">
        <v>160</v>
      </c>
      <c r="G9" s="249" t="s">
        <v>155</v>
      </c>
      <c r="H9" s="252" t="s">
        <v>161</v>
      </c>
      <c r="I9" s="242" t="s">
        <v>162</v>
      </c>
      <c r="J9" s="243"/>
      <c r="K9" s="244"/>
      <c r="L9" s="245"/>
    </row>
    <row r="10" customFormat="false" ht="17.35" hidden="false" customHeight="false" outlineLevel="0" collapsed="false">
      <c r="B10" s="250" t="s">
        <v>163</v>
      </c>
      <c r="D10" s="238" t="n">
        <v>8</v>
      </c>
      <c r="E10" s="239" t="s">
        <v>164</v>
      </c>
      <c r="F10" s="253" t="s">
        <v>154</v>
      </c>
      <c r="G10" s="252" t="s">
        <v>161</v>
      </c>
      <c r="H10" s="242" t="s">
        <v>132</v>
      </c>
      <c r="I10" s="243" t="s">
        <v>165</v>
      </c>
      <c r="J10" s="243" t="s">
        <v>166</v>
      </c>
      <c r="K10" s="254" t="s">
        <v>167</v>
      </c>
      <c r="L10" s="245"/>
    </row>
    <row r="11" customFormat="false" ht="17.35" hidden="false" customHeight="false" outlineLevel="0" collapsed="false">
      <c r="B11" s="255" t="s">
        <v>168</v>
      </c>
      <c r="D11" s="238" t="n">
        <v>9</v>
      </c>
      <c r="E11" s="239" t="s">
        <v>169</v>
      </c>
      <c r="F11" s="253" t="s">
        <v>170</v>
      </c>
      <c r="G11" s="249" t="s">
        <v>171</v>
      </c>
      <c r="H11" s="243" t="s">
        <v>166</v>
      </c>
      <c r="I11" s="243" t="s">
        <v>172</v>
      </c>
      <c r="J11" s="242" t="s">
        <v>173</v>
      </c>
      <c r="K11" s="244" t="s">
        <v>174</v>
      </c>
      <c r="L11" s="245"/>
    </row>
    <row r="12" customFormat="false" ht="17.35" hidden="false" customHeight="false" outlineLevel="0" collapsed="false">
      <c r="B12" s="255" t="s">
        <v>175</v>
      </c>
      <c r="D12" s="238" t="n">
        <v>10</v>
      </c>
      <c r="E12" s="239" t="s">
        <v>176</v>
      </c>
      <c r="F12" s="251" t="s">
        <v>162</v>
      </c>
      <c r="G12" s="243" t="s">
        <v>177</v>
      </c>
      <c r="H12" s="249" t="s">
        <v>178</v>
      </c>
      <c r="I12" s="243"/>
      <c r="J12" s="243"/>
      <c r="K12" s="244"/>
      <c r="L12" s="245"/>
    </row>
    <row r="13" customFormat="false" ht="17.35" hidden="false" customHeight="false" outlineLevel="0" collapsed="false">
      <c r="B13" s="255" t="s">
        <v>179</v>
      </c>
      <c r="D13" s="238" t="n">
        <v>11</v>
      </c>
      <c r="E13" s="239" t="s">
        <v>180</v>
      </c>
      <c r="F13" s="256" t="s">
        <v>181</v>
      </c>
      <c r="G13" s="242" t="s">
        <v>182</v>
      </c>
      <c r="H13" s="243" t="s">
        <v>183</v>
      </c>
      <c r="I13" s="243" t="s">
        <v>184</v>
      </c>
      <c r="J13" s="243"/>
      <c r="K13" s="244"/>
      <c r="L13" s="245"/>
    </row>
    <row r="14" customFormat="false" ht="17.35" hidden="false" customHeight="false" outlineLevel="0" collapsed="false">
      <c r="B14" s="255" t="s">
        <v>185</v>
      </c>
      <c r="D14" s="238" t="n">
        <v>12</v>
      </c>
      <c r="E14" s="239" t="s">
        <v>186</v>
      </c>
      <c r="F14" s="257" t="s">
        <v>187</v>
      </c>
      <c r="G14" s="243" t="s">
        <v>174</v>
      </c>
      <c r="H14" s="243" t="s">
        <v>165</v>
      </c>
      <c r="I14" s="248" t="s">
        <v>170</v>
      </c>
      <c r="J14" s="243" t="s">
        <v>134</v>
      </c>
      <c r="K14" s="258" t="s">
        <v>162</v>
      </c>
      <c r="L14" s="245"/>
    </row>
    <row r="15" customFormat="false" ht="17.35" hidden="false" customHeight="false" outlineLevel="0" collapsed="false">
      <c r="B15" s="259" t="s">
        <v>188</v>
      </c>
      <c r="D15" s="238" t="n">
        <v>13</v>
      </c>
      <c r="E15" s="239" t="s">
        <v>189</v>
      </c>
      <c r="F15" s="257" t="s">
        <v>190</v>
      </c>
      <c r="G15" s="242" t="s">
        <v>191</v>
      </c>
      <c r="H15" s="249" t="s">
        <v>178</v>
      </c>
      <c r="I15" s="248" t="s">
        <v>154</v>
      </c>
      <c r="J15" s="243"/>
      <c r="K15" s="244"/>
      <c r="L15" s="245"/>
    </row>
    <row r="16" customFormat="false" ht="17.35" hidden="false" customHeight="false" outlineLevel="0" collapsed="false">
      <c r="D16" s="238" t="n">
        <v>14</v>
      </c>
      <c r="E16" s="239" t="s">
        <v>192</v>
      </c>
      <c r="F16" s="257" t="s">
        <v>193</v>
      </c>
      <c r="G16" s="242" t="s">
        <v>139</v>
      </c>
      <c r="H16" s="242" t="s">
        <v>173</v>
      </c>
      <c r="I16" s="249" t="s">
        <v>171</v>
      </c>
      <c r="J16" s="243"/>
      <c r="K16" s="244"/>
      <c r="L16" s="245"/>
    </row>
    <row r="17" customFormat="false" ht="17.35" hidden="false" customHeight="false" outlineLevel="0" collapsed="false">
      <c r="D17" s="238" t="n">
        <v>15</v>
      </c>
      <c r="E17" s="239" t="s">
        <v>194</v>
      </c>
      <c r="F17" s="240" t="s">
        <v>195</v>
      </c>
      <c r="G17" s="243" t="s">
        <v>172</v>
      </c>
      <c r="H17" s="242" t="s">
        <v>162</v>
      </c>
      <c r="I17" s="248" t="s">
        <v>170</v>
      </c>
      <c r="J17" s="249" t="s">
        <v>167</v>
      </c>
      <c r="K17" s="244"/>
      <c r="L17" s="245"/>
    </row>
    <row r="18" customFormat="false" ht="17.35" hidden="false" customHeight="false" outlineLevel="0" collapsed="false">
      <c r="D18" s="238" t="n">
        <v>16</v>
      </c>
      <c r="E18" s="239" t="s">
        <v>196</v>
      </c>
      <c r="F18" s="256" t="s">
        <v>197</v>
      </c>
      <c r="G18" s="242" t="s">
        <v>198</v>
      </c>
      <c r="H18" s="242" t="s">
        <v>160</v>
      </c>
      <c r="I18" s="243" t="s">
        <v>145</v>
      </c>
      <c r="J18" s="243"/>
      <c r="K18" s="244"/>
      <c r="L18" s="245"/>
    </row>
    <row r="19" customFormat="false" ht="17.35" hidden="false" customHeight="false" outlineLevel="0" collapsed="false">
      <c r="D19" s="238" t="n">
        <v>17</v>
      </c>
      <c r="E19" s="239" t="s">
        <v>199</v>
      </c>
      <c r="F19" s="256" t="s">
        <v>200</v>
      </c>
      <c r="G19" s="242" t="s">
        <v>173</v>
      </c>
      <c r="H19" s="243" t="s">
        <v>172</v>
      </c>
      <c r="I19" s="249" t="s">
        <v>178</v>
      </c>
      <c r="J19" s="242" t="s">
        <v>182</v>
      </c>
      <c r="K19" s="244"/>
      <c r="L19" s="260" t="s">
        <v>201</v>
      </c>
    </row>
    <row r="20" customFormat="false" ht="17.35" hidden="false" customHeight="false" outlineLevel="0" collapsed="false">
      <c r="D20" s="238" t="n">
        <v>18</v>
      </c>
      <c r="E20" s="239" t="s">
        <v>202</v>
      </c>
      <c r="F20" s="256" t="s">
        <v>203</v>
      </c>
      <c r="G20" s="243" t="s">
        <v>134</v>
      </c>
      <c r="H20" s="243" t="s">
        <v>165</v>
      </c>
      <c r="I20" s="243" t="s">
        <v>204</v>
      </c>
      <c r="J20" s="243" t="s">
        <v>205</v>
      </c>
      <c r="K20" s="244"/>
      <c r="L20" s="260" t="s">
        <v>206</v>
      </c>
    </row>
    <row r="21" customFormat="false" ht="17.35" hidden="false" customHeight="false" outlineLevel="0" collapsed="false">
      <c r="D21" s="238" t="n">
        <v>19</v>
      </c>
      <c r="E21" s="239" t="s">
        <v>207</v>
      </c>
      <c r="F21" s="256" t="s">
        <v>208</v>
      </c>
      <c r="G21" s="249" t="s">
        <v>155</v>
      </c>
      <c r="H21" s="242" t="s">
        <v>132</v>
      </c>
      <c r="I21" s="249" t="s">
        <v>167</v>
      </c>
      <c r="J21" s="243"/>
      <c r="K21" s="244"/>
      <c r="L21" s="260" t="s">
        <v>209</v>
      </c>
    </row>
    <row r="22" customFormat="false" ht="17.35" hidden="false" customHeight="false" outlineLevel="0" collapsed="false">
      <c r="D22" s="261" t="n">
        <v>20</v>
      </c>
      <c r="E22" s="262" t="s">
        <v>210</v>
      </c>
      <c r="F22" s="263" t="s">
        <v>203</v>
      </c>
      <c r="G22" s="264" t="s">
        <v>167</v>
      </c>
      <c r="H22" s="265" t="s">
        <v>160</v>
      </c>
      <c r="I22" s="264" t="s">
        <v>155</v>
      </c>
      <c r="J22" s="266"/>
      <c r="K22" s="267"/>
      <c r="L22" s="268"/>
    </row>
    <row r="25" customFormat="false" ht="16.4" hidden="false" customHeight="false" outlineLevel="0" collapsed="false">
      <c r="E25" s="269" t="s">
        <v>211</v>
      </c>
    </row>
    <row r="27" customFormat="false" ht="16.4" hidden="false" customHeight="false" outlineLevel="0" collapsed="false">
      <c r="E27" s="269" t="s">
        <v>212</v>
      </c>
    </row>
    <row r="29" customFormat="false" ht="15" hidden="false" customHeight="false" outlineLevel="0" collapsed="false">
      <c r="E29" s="1" t="s">
        <v>213</v>
      </c>
    </row>
    <row r="31" customFormat="false" ht="15" hidden="false" customHeight="false" outlineLevel="0" collapsed="false">
      <c r="E31" s="1" t="s">
        <v>214</v>
      </c>
    </row>
    <row r="65" customFormat="false" ht="15" hidden="false" customHeight="false" outlineLevel="0" collapsed="false">
      <c r="C65" s="1" t="s">
        <v>215</v>
      </c>
    </row>
  </sheetData>
  <mergeCells count="1">
    <mergeCell ref="F2:K2"/>
  </mergeCells>
  <hyperlinks>
    <hyperlink ref="E25" r:id="rId1" display="https://github.com/cnlohr/rv003usb"/>
    <hyperlink ref="E27" r:id="rId2" display="https://github.com/cnlohr/ch32fun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65"/>
  <sheetViews>
    <sheetView showFormulas="false" showGridLines="true" showRowColHeaders="true" showZeros="true" rightToLeft="false" tabSelected="false" showOutlineSymbols="true" defaultGridColor="true" view="normal" topLeftCell="C1" colorId="64" zoomScale="75" zoomScaleNormal="75" zoomScalePageLayoutView="100" workbookViewId="0">
      <selection pane="topLeft" activeCell="H35" activeCellId="0" sqref="H35"/>
    </sheetView>
  </sheetViews>
  <sheetFormatPr defaultColWidth="8.59765625" defaultRowHeight="13.8" zeroHeight="false" outlineLevelRow="0" outlineLevelCol="0"/>
  <cols>
    <col collapsed="false" customWidth="true" hidden="false" outlineLevel="0" max="2" min="2" style="1" width="42.29"/>
    <col collapsed="false" customWidth="true" hidden="false" outlineLevel="0" max="4" min="4" style="1" width="5.3"/>
    <col collapsed="false" customWidth="true" hidden="false" outlineLevel="0" max="5" min="5" style="1" width="10.57"/>
    <col collapsed="false" customWidth="true" hidden="false" outlineLevel="0" max="13" min="6" style="1" width="17.3"/>
    <col collapsed="false" customWidth="true" hidden="false" outlineLevel="0" max="14" min="14" style="1" width="16.57"/>
  </cols>
  <sheetData>
    <row r="2" customFormat="false" ht="17.35" hidden="false" customHeight="false" outlineLevel="0" collapsed="false">
      <c r="B2" s="224" t="s">
        <v>124</v>
      </c>
      <c r="D2" s="225" t="s">
        <v>125</v>
      </c>
      <c r="E2" s="226" t="s">
        <v>126</v>
      </c>
      <c r="F2" s="226" t="s">
        <v>216</v>
      </c>
      <c r="G2" s="226" t="s">
        <v>1</v>
      </c>
      <c r="H2" s="227" t="s">
        <v>127</v>
      </c>
      <c r="I2" s="227"/>
      <c r="J2" s="227"/>
      <c r="K2" s="227"/>
      <c r="L2" s="227"/>
      <c r="M2" s="227"/>
      <c r="N2" s="228" t="s">
        <v>128</v>
      </c>
    </row>
    <row r="3" customFormat="false" ht="17.35" hidden="false" customHeight="false" outlineLevel="0" collapsed="false">
      <c r="B3" s="229" t="s">
        <v>129</v>
      </c>
      <c r="D3" s="230" t="n">
        <v>1</v>
      </c>
      <c r="E3" s="231" t="s">
        <v>130</v>
      </c>
      <c r="F3" s="231" t="s">
        <v>217</v>
      </c>
      <c r="G3" s="231" t="s">
        <v>218</v>
      </c>
      <c r="H3" s="232" t="s">
        <v>131</v>
      </c>
      <c r="I3" s="233" t="s">
        <v>132</v>
      </c>
      <c r="J3" s="234" t="s">
        <v>133</v>
      </c>
      <c r="K3" s="234" t="s">
        <v>134</v>
      </c>
      <c r="L3" s="234"/>
      <c r="M3" s="235"/>
      <c r="N3" s="236"/>
    </row>
    <row r="4" customFormat="false" ht="17.35" hidden="false" customHeight="false" outlineLevel="0" collapsed="false">
      <c r="B4" s="237" t="s">
        <v>135</v>
      </c>
      <c r="D4" s="238" t="n">
        <v>2</v>
      </c>
      <c r="E4" s="239" t="s">
        <v>136</v>
      </c>
      <c r="F4" s="239" t="s">
        <v>219</v>
      </c>
      <c r="G4" s="239" t="s">
        <v>218</v>
      </c>
      <c r="H4" s="240" t="s">
        <v>137</v>
      </c>
      <c r="I4" s="241" t="s">
        <v>138</v>
      </c>
      <c r="J4" s="242" t="s">
        <v>139</v>
      </c>
      <c r="K4" s="243" t="s">
        <v>140</v>
      </c>
      <c r="L4" s="243"/>
      <c r="M4" s="244"/>
      <c r="N4" s="245"/>
    </row>
    <row r="5" customFormat="false" ht="17.35" hidden="false" customHeight="false" outlineLevel="0" collapsed="false">
      <c r="B5" s="246" t="s">
        <v>141</v>
      </c>
      <c r="D5" s="238" t="n">
        <v>3</v>
      </c>
      <c r="E5" s="239" t="s">
        <v>142</v>
      </c>
      <c r="F5" s="239" t="s">
        <v>220</v>
      </c>
      <c r="G5" s="239" t="s">
        <v>218</v>
      </c>
      <c r="H5" s="240" t="s">
        <v>143</v>
      </c>
      <c r="I5" s="241" t="s">
        <v>144</v>
      </c>
      <c r="J5" s="243" t="s">
        <v>145</v>
      </c>
      <c r="K5" s="243" t="s">
        <v>146</v>
      </c>
      <c r="L5" s="243" t="s">
        <v>147</v>
      </c>
      <c r="M5" s="244"/>
      <c r="N5" s="245"/>
    </row>
    <row r="6" customFormat="false" ht="17.35" hidden="false" customHeight="false" outlineLevel="0" collapsed="false">
      <c r="B6" s="247" t="s">
        <v>148</v>
      </c>
      <c r="D6" s="238" t="n">
        <v>4</v>
      </c>
      <c r="E6" s="239" t="s">
        <v>149</v>
      </c>
      <c r="F6" s="239" t="s">
        <v>221</v>
      </c>
      <c r="G6" s="239" t="s">
        <v>221</v>
      </c>
      <c r="H6" s="240"/>
      <c r="I6" s="243"/>
      <c r="J6" s="243"/>
      <c r="K6" s="243"/>
      <c r="L6" s="243"/>
      <c r="M6" s="244"/>
      <c r="N6" s="245"/>
    </row>
    <row r="7" customFormat="false" ht="17.35" hidden="false" customHeight="false" outlineLevel="0" collapsed="false">
      <c r="B7" s="247" t="s">
        <v>150</v>
      </c>
      <c r="D7" s="238" t="n">
        <v>5</v>
      </c>
      <c r="E7" s="239" t="s">
        <v>151</v>
      </c>
      <c r="F7" s="239" t="s">
        <v>222</v>
      </c>
      <c r="G7" s="239" t="s">
        <v>218</v>
      </c>
      <c r="H7" s="240" t="s">
        <v>152</v>
      </c>
      <c r="I7" s="243" t="s">
        <v>153</v>
      </c>
      <c r="J7" s="248" t="s">
        <v>154</v>
      </c>
      <c r="K7" s="249" t="s">
        <v>155</v>
      </c>
      <c r="L7" s="243"/>
      <c r="M7" s="244"/>
      <c r="N7" s="245"/>
    </row>
    <row r="8" customFormat="false" ht="17.35" hidden="false" customHeight="false" outlineLevel="0" collapsed="false">
      <c r="B8" s="247" t="s">
        <v>156</v>
      </c>
      <c r="D8" s="238" t="n">
        <v>6</v>
      </c>
      <c r="E8" s="239" t="s">
        <v>157</v>
      </c>
      <c r="F8" s="239" t="s">
        <v>223</v>
      </c>
      <c r="G8" s="239" t="s">
        <v>224</v>
      </c>
      <c r="H8" s="240"/>
      <c r="I8" s="243"/>
      <c r="J8" s="243"/>
      <c r="K8" s="243"/>
      <c r="L8" s="243"/>
      <c r="M8" s="244"/>
      <c r="N8" s="245"/>
    </row>
    <row r="9" customFormat="false" ht="17.35" hidden="false" customHeight="false" outlineLevel="0" collapsed="false">
      <c r="B9" s="250" t="s">
        <v>158</v>
      </c>
      <c r="D9" s="238" t="n">
        <v>7</v>
      </c>
      <c r="E9" s="239" t="s">
        <v>159</v>
      </c>
      <c r="F9" s="239" t="s">
        <v>225</v>
      </c>
      <c r="G9" s="239" t="s">
        <v>218</v>
      </c>
      <c r="H9" s="251" t="s">
        <v>160</v>
      </c>
      <c r="I9" s="249" t="s">
        <v>155</v>
      </c>
      <c r="J9" s="252" t="s">
        <v>161</v>
      </c>
      <c r="K9" s="242" t="s">
        <v>162</v>
      </c>
      <c r="L9" s="243"/>
      <c r="M9" s="244"/>
      <c r="N9" s="245"/>
    </row>
    <row r="10" customFormat="false" ht="17.35" hidden="false" customHeight="false" outlineLevel="0" collapsed="false">
      <c r="B10" s="250" t="s">
        <v>163</v>
      </c>
      <c r="D10" s="238" t="n">
        <v>8</v>
      </c>
      <c r="E10" s="239" t="s">
        <v>164</v>
      </c>
      <c r="F10" s="239" t="s">
        <v>226</v>
      </c>
      <c r="G10" s="270" t="s">
        <v>218</v>
      </c>
      <c r="H10" s="253" t="s">
        <v>154</v>
      </c>
      <c r="I10" s="252" t="s">
        <v>161</v>
      </c>
      <c r="J10" s="242" t="s">
        <v>132</v>
      </c>
      <c r="K10" s="243" t="s">
        <v>165</v>
      </c>
      <c r="L10" s="243" t="s">
        <v>166</v>
      </c>
      <c r="M10" s="254" t="s">
        <v>167</v>
      </c>
      <c r="N10" s="245"/>
    </row>
    <row r="11" customFormat="false" ht="17.35" hidden="false" customHeight="false" outlineLevel="0" collapsed="false">
      <c r="B11" s="255" t="s">
        <v>168</v>
      </c>
      <c r="D11" s="238" t="n">
        <v>9</v>
      </c>
      <c r="E11" s="239" t="s">
        <v>169</v>
      </c>
      <c r="F11" s="239" t="s">
        <v>227</v>
      </c>
      <c r="G11" s="270" t="s">
        <v>154</v>
      </c>
      <c r="H11" s="253" t="s">
        <v>170</v>
      </c>
      <c r="I11" s="249" t="s">
        <v>171</v>
      </c>
      <c r="J11" s="243" t="s">
        <v>166</v>
      </c>
      <c r="K11" s="243" t="s">
        <v>172</v>
      </c>
      <c r="L11" s="242" t="s">
        <v>173</v>
      </c>
      <c r="M11" s="244" t="s">
        <v>174</v>
      </c>
      <c r="N11" s="245"/>
    </row>
    <row r="12" customFormat="false" ht="17.35" hidden="false" customHeight="false" outlineLevel="0" collapsed="false">
      <c r="B12" s="255" t="s">
        <v>175</v>
      </c>
      <c r="D12" s="238" t="n">
        <v>10</v>
      </c>
      <c r="E12" s="239" t="s">
        <v>176</v>
      </c>
      <c r="F12" s="239" t="s">
        <v>228</v>
      </c>
      <c r="G12" s="270" t="s">
        <v>229</v>
      </c>
      <c r="H12" s="251" t="s">
        <v>162</v>
      </c>
      <c r="I12" s="243" t="s">
        <v>177</v>
      </c>
      <c r="J12" s="249" t="s">
        <v>178</v>
      </c>
      <c r="K12" s="243"/>
      <c r="L12" s="243"/>
      <c r="M12" s="244"/>
      <c r="N12" s="245"/>
    </row>
    <row r="13" customFormat="false" ht="17.35" hidden="false" customHeight="false" outlineLevel="0" collapsed="false">
      <c r="B13" s="255" t="s">
        <v>179</v>
      </c>
      <c r="D13" s="238" t="n">
        <v>11</v>
      </c>
      <c r="E13" s="239" t="s">
        <v>180</v>
      </c>
      <c r="F13" s="239" t="s">
        <v>230</v>
      </c>
      <c r="G13" s="239"/>
      <c r="H13" s="256" t="s">
        <v>181</v>
      </c>
      <c r="I13" s="242" t="s">
        <v>182</v>
      </c>
      <c r="J13" s="243" t="s">
        <v>183</v>
      </c>
      <c r="K13" s="243" t="s">
        <v>184</v>
      </c>
      <c r="L13" s="243"/>
      <c r="M13" s="244"/>
      <c r="N13" s="245"/>
    </row>
    <row r="14" customFormat="false" ht="17.35" hidden="false" customHeight="false" outlineLevel="0" collapsed="false">
      <c r="B14" s="255" t="s">
        <v>185</v>
      </c>
      <c r="D14" s="238" t="n">
        <v>12</v>
      </c>
      <c r="E14" s="239" t="s">
        <v>186</v>
      </c>
      <c r="F14" s="239" t="s">
        <v>231</v>
      </c>
      <c r="G14" s="239"/>
      <c r="H14" s="257" t="s">
        <v>187</v>
      </c>
      <c r="I14" s="243" t="s">
        <v>174</v>
      </c>
      <c r="J14" s="243" t="s">
        <v>165</v>
      </c>
      <c r="K14" s="248" t="s">
        <v>170</v>
      </c>
      <c r="L14" s="243" t="s">
        <v>134</v>
      </c>
      <c r="M14" s="258" t="s">
        <v>162</v>
      </c>
      <c r="N14" s="245"/>
    </row>
    <row r="15" customFormat="false" ht="17.35" hidden="false" customHeight="false" outlineLevel="0" collapsed="false">
      <c r="B15" s="259" t="s">
        <v>188</v>
      </c>
      <c r="D15" s="238" t="n">
        <v>13</v>
      </c>
      <c r="E15" s="239" t="s">
        <v>189</v>
      </c>
      <c r="F15" s="239" t="s">
        <v>232</v>
      </c>
      <c r="G15" s="239"/>
      <c r="H15" s="257" t="s">
        <v>190</v>
      </c>
      <c r="I15" s="242" t="s">
        <v>191</v>
      </c>
      <c r="J15" s="249" t="s">
        <v>178</v>
      </c>
      <c r="K15" s="248" t="s">
        <v>154</v>
      </c>
      <c r="L15" s="243"/>
      <c r="M15" s="244"/>
      <c r="N15" s="245"/>
    </row>
    <row r="16" customFormat="false" ht="17.35" hidden="false" customHeight="false" outlineLevel="0" collapsed="false">
      <c r="D16" s="238" t="n">
        <v>14</v>
      </c>
      <c r="E16" s="239" t="s">
        <v>192</v>
      </c>
      <c r="F16" s="239" t="s">
        <v>233</v>
      </c>
      <c r="G16" s="239"/>
      <c r="H16" s="257" t="s">
        <v>193</v>
      </c>
      <c r="I16" s="242" t="s">
        <v>139</v>
      </c>
      <c r="J16" s="242" t="s">
        <v>173</v>
      </c>
      <c r="K16" s="249" t="s">
        <v>171</v>
      </c>
      <c r="L16" s="243"/>
      <c r="M16" s="244"/>
      <c r="N16" s="245"/>
    </row>
    <row r="17" customFormat="false" ht="17.35" hidden="false" customHeight="false" outlineLevel="0" collapsed="false">
      <c r="D17" s="238" t="n">
        <v>15</v>
      </c>
      <c r="E17" s="239" t="s">
        <v>194</v>
      </c>
      <c r="F17" s="239" t="s">
        <v>234</v>
      </c>
      <c r="G17" s="239"/>
      <c r="H17" s="240" t="s">
        <v>195</v>
      </c>
      <c r="I17" s="243" t="s">
        <v>172</v>
      </c>
      <c r="J17" s="242" t="s">
        <v>162</v>
      </c>
      <c r="K17" s="248" t="s">
        <v>170</v>
      </c>
      <c r="L17" s="249" t="s">
        <v>167</v>
      </c>
      <c r="M17" s="244"/>
      <c r="N17" s="245"/>
    </row>
    <row r="18" customFormat="false" ht="17.35" hidden="false" customHeight="false" outlineLevel="0" collapsed="false">
      <c r="D18" s="238" t="n">
        <v>16</v>
      </c>
      <c r="E18" s="239" t="s">
        <v>196</v>
      </c>
      <c r="F18" s="239" t="s">
        <v>235</v>
      </c>
      <c r="G18" s="239"/>
      <c r="H18" s="256" t="s">
        <v>197</v>
      </c>
      <c r="I18" s="242" t="s">
        <v>198</v>
      </c>
      <c r="J18" s="242" t="s">
        <v>160</v>
      </c>
      <c r="K18" s="243" t="s">
        <v>145</v>
      </c>
      <c r="L18" s="243"/>
      <c r="M18" s="244"/>
      <c r="N18" s="245"/>
    </row>
    <row r="19" customFormat="false" ht="17.35" hidden="false" customHeight="false" outlineLevel="0" collapsed="false">
      <c r="D19" s="238" t="n">
        <v>17</v>
      </c>
      <c r="E19" s="239" t="s">
        <v>199</v>
      </c>
      <c r="F19" s="239" t="s">
        <v>236</v>
      </c>
      <c r="G19" s="239"/>
      <c r="H19" s="256" t="s">
        <v>200</v>
      </c>
      <c r="I19" s="242" t="s">
        <v>173</v>
      </c>
      <c r="J19" s="243" t="s">
        <v>172</v>
      </c>
      <c r="K19" s="249" t="s">
        <v>178</v>
      </c>
      <c r="L19" s="242" t="s">
        <v>182</v>
      </c>
      <c r="M19" s="244"/>
      <c r="N19" s="260" t="s">
        <v>201</v>
      </c>
    </row>
    <row r="20" customFormat="false" ht="17.35" hidden="false" customHeight="false" outlineLevel="0" collapsed="false">
      <c r="D20" s="238" t="n">
        <v>18</v>
      </c>
      <c r="E20" s="239" t="s">
        <v>202</v>
      </c>
      <c r="F20" s="239" t="s">
        <v>237</v>
      </c>
      <c r="G20" s="239"/>
      <c r="H20" s="256" t="s">
        <v>203</v>
      </c>
      <c r="I20" s="243" t="s">
        <v>134</v>
      </c>
      <c r="J20" s="243" t="s">
        <v>165</v>
      </c>
      <c r="K20" s="243" t="s">
        <v>204</v>
      </c>
      <c r="L20" s="243" t="s">
        <v>205</v>
      </c>
      <c r="M20" s="244"/>
      <c r="N20" s="260" t="s">
        <v>206</v>
      </c>
    </row>
    <row r="21" customFormat="false" ht="17.35" hidden="false" customHeight="false" outlineLevel="0" collapsed="false">
      <c r="D21" s="238" t="n">
        <v>19</v>
      </c>
      <c r="E21" s="239" t="s">
        <v>207</v>
      </c>
      <c r="F21" s="239" t="s">
        <v>167</v>
      </c>
      <c r="G21" s="239"/>
      <c r="H21" s="256" t="s">
        <v>208</v>
      </c>
      <c r="I21" s="249" t="s">
        <v>155</v>
      </c>
      <c r="J21" s="242" t="s">
        <v>132</v>
      </c>
      <c r="K21" s="249" t="s">
        <v>167</v>
      </c>
      <c r="L21" s="243"/>
      <c r="M21" s="244"/>
      <c r="N21" s="260" t="s">
        <v>209</v>
      </c>
    </row>
    <row r="22" customFormat="false" ht="17.35" hidden="false" customHeight="false" outlineLevel="0" collapsed="false">
      <c r="D22" s="261" t="n">
        <v>20</v>
      </c>
      <c r="E22" s="262" t="s">
        <v>210</v>
      </c>
      <c r="F22" s="262" t="s">
        <v>155</v>
      </c>
      <c r="G22" s="262"/>
      <c r="H22" s="263" t="s">
        <v>203</v>
      </c>
      <c r="I22" s="264" t="s">
        <v>167</v>
      </c>
      <c r="J22" s="265" t="s">
        <v>160</v>
      </c>
      <c r="K22" s="264" t="s">
        <v>155</v>
      </c>
      <c r="L22" s="266"/>
      <c r="M22" s="267"/>
      <c r="N22" s="268"/>
    </row>
    <row r="25" customFormat="false" ht="16.4" hidden="false" customHeight="false" outlineLevel="0" collapsed="false">
      <c r="E25" s="269" t="s">
        <v>211</v>
      </c>
      <c r="F25" s="269"/>
      <c r="G25" s="269"/>
    </row>
    <row r="27" customFormat="false" ht="16.4" hidden="false" customHeight="false" outlineLevel="0" collapsed="false">
      <c r="E27" s="269" t="s">
        <v>212</v>
      </c>
      <c r="F27" s="269"/>
      <c r="G27" s="269"/>
    </row>
    <row r="29" customFormat="false" ht="13.8" hidden="false" customHeight="false" outlineLevel="0" collapsed="false">
      <c r="E29" s="1" t="s">
        <v>213</v>
      </c>
    </row>
    <row r="31" customFormat="false" ht="13.8" hidden="false" customHeight="false" outlineLevel="0" collapsed="false">
      <c r="E31" s="1" t="s">
        <v>214</v>
      </c>
    </row>
    <row r="65" customFormat="false" ht="13.8" hidden="false" customHeight="false" outlineLevel="0" collapsed="false">
      <c r="C65" s="1" t="s">
        <v>215</v>
      </c>
    </row>
  </sheetData>
  <mergeCells count="1">
    <mergeCell ref="H2:M2"/>
  </mergeCells>
  <hyperlinks>
    <hyperlink ref="E25" r:id="rId1" display="https://github.com/cnlohr/rv003usb"/>
    <hyperlink ref="E27" r:id="rId2" display="https://github.com/cnlohr/ch32fun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5" activeCellId="0" sqref="D35"/>
    </sheetView>
  </sheetViews>
  <sheetFormatPr defaultColWidth="8.59765625" defaultRowHeight="15" zeroHeight="false" outlineLevelRow="0" outlineLevelCol="0"/>
  <cols>
    <col collapsed="false" customWidth="true" hidden="false" outlineLevel="0" max="2" min="2" style="1" width="15.28"/>
    <col collapsed="false" customWidth="true" hidden="false" outlineLevel="0" max="3" min="3" style="1" width="10.14"/>
    <col collapsed="false" customWidth="true" hidden="false" outlineLevel="0" max="4" min="4" style="1" width="28.72"/>
    <col collapsed="false" customWidth="true" hidden="false" outlineLevel="0" max="5" min="5" style="1" width="11"/>
    <col collapsed="false" customWidth="true" hidden="false" outlineLevel="0" max="6" min="6" style="1" width="12.57"/>
  </cols>
  <sheetData>
    <row r="2" customFormat="false" ht="17.35" hidden="false" customHeight="false" outlineLevel="0" collapsed="false">
      <c r="C2" s="271" t="s">
        <v>238</v>
      </c>
      <c r="D2" s="271" t="s">
        <v>239</v>
      </c>
      <c r="E2" s="271" t="s">
        <v>240</v>
      </c>
      <c r="F2" s="271" t="s">
        <v>241</v>
      </c>
    </row>
    <row r="3" customFormat="false" ht="17.35" hidden="false" customHeight="false" outlineLevel="0" collapsed="false">
      <c r="B3" s="272" t="s">
        <v>242</v>
      </c>
      <c r="C3" s="273" t="n">
        <v>10</v>
      </c>
      <c r="D3" s="273" t="n">
        <v>5</v>
      </c>
      <c r="E3" s="273" t="n">
        <v>24.15</v>
      </c>
      <c r="F3" s="273" t="n">
        <f aca="false">SUM(C3:E3)</f>
        <v>39.15</v>
      </c>
    </row>
    <row r="4" customFormat="false" ht="15" hidden="false" customHeight="false" outlineLevel="0" collapsed="false">
      <c r="C4" s="273"/>
      <c r="D4" s="273"/>
    </row>
    <row r="5" customFormat="false" ht="15" hidden="false" customHeight="false" outlineLevel="0" collapsed="false">
      <c r="C5" s="273"/>
      <c r="D5" s="273"/>
    </row>
    <row r="6" customFormat="false" ht="15" hidden="false" customHeight="false" outlineLevel="0" collapsed="false">
      <c r="C6" s="273"/>
      <c r="D6" s="273"/>
    </row>
    <row r="7" customFormat="false" ht="17.35" hidden="false" customHeight="false" outlineLevel="0" collapsed="false">
      <c r="B7" s="272" t="s">
        <v>243</v>
      </c>
      <c r="C7" s="273" t="n">
        <v>7</v>
      </c>
      <c r="D7" s="273" t="n">
        <v>2</v>
      </c>
      <c r="E7" s="273" t="n">
        <v>42.66</v>
      </c>
      <c r="F7" s="273" t="n">
        <v>60</v>
      </c>
    </row>
    <row r="8" customFormat="false" ht="15" hidden="false" customHeight="false" outlineLevel="0" collapsed="false">
      <c r="C8" s="273"/>
      <c r="D8" s="273"/>
    </row>
    <row r="9" customFormat="false" ht="15" hidden="false" customHeight="false" outlineLevel="0" collapsed="false">
      <c r="C9" s="273"/>
      <c r="D9" s="273"/>
    </row>
    <row r="11" customFormat="false" ht="17.35" hidden="false" customHeight="false" outlineLevel="0" collapsed="false">
      <c r="B11" s="272" t="s">
        <v>244</v>
      </c>
      <c r="C11" s="274" t="s">
        <v>245</v>
      </c>
      <c r="D11" s="275" t="n">
        <v>7.5</v>
      </c>
    </row>
    <row r="12" customFormat="false" ht="17.35" hidden="false" customHeight="false" outlineLevel="0" collapsed="false">
      <c r="B12" s="272" t="s">
        <v>246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H24"/>
  <sheetViews>
    <sheetView showFormulas="false" showGridLines="true" showRowColHeaders="true" showZeros="true" rightToLeft="false" tabSelected="false" showOutlineSymbols="true" defaultGridColor="true" view="normal" topLeftCell="B1" colorId="64" zoomScale="75" zoomScaleNormal="75" zoomScalePageLayoutView="100" workbookViewId="0">
      <selection pane="topLeft" activeCell="E27" activeCellId="0" sqref="E27"/>
    </sheetView>
  </sheetViews>
  <sheetFormatPr defaultColWidth="8.59765625" defaultRowHeight="15" zeroHeight="false" outlineLevelRow="0" outlineLevelCol="0"/>
  <cols>
    <col collapsed="false" customWidth="true" hidden="false" outlineLevel="0" max="2" min="2" style="1" width="21.71"/>
    <col collapsed="false" customWidth="true" hidden="false" outlineLevel="0" max="5" min="4" style="1" width="28"/>
  </cols>
  <sheetData>
    <row r="3" customFormat="false" ht="15" hidden="false" customHeight="false" outlineLevel="0" collapsed="false">
      <c r="B3" s="276" t="n">
        <v>12</v>
      </c>
      <c r="C3" s="276" t="s">
        <v>247</v>
      </c>
      <c r="D3" s="277"/>
      <c r="E3" s="277"/>
      <c r="F3" s="278" t="s">
        <v>248</v>
      </c>
    </row>
    <row r="4" customFormat="false" ht="15" hidden="false" customHeight="false" outlineLevel="0" collapsed="false">
      <c r="B4" s="276" t="n">
        <v>1</v>
      </c>
      <c r="C4" s="276" t="n">
        <v>500</v>
      </c>
      <c r="D4" s="277"/>
      <c r="E4" s="277"/>
      <c r="F4" s="278" t="s">
        <v>249</v>
      </c>
    </row>
    <row r="5" customFormat="false" ht="15" hidden="false" customHeight="false" outlineLevel="0" collapsed="false">
      <c r="C5" s="279" t="s">
        <v>250</v>
      </c>
    </row>
    <row r="7" customFormat="false" ht="15" hidden="false" customHeight="false" outlineLevel="0" collapsed="false">
      <c r="B7" s="5" t="s">
        <v>251</v>
      </c>
      <c r="C7" s="280" t="n">
        <v>3825</v>
      </c>
    </row>
    <row r="8" customFormat="false" ht="15" hidden="false" customHeight="false" outlineLevel="0" collapsed="false">
      <c r="C8" s="276" t="n">
        <v>10</v>
      </c>
      <c r="D8" s="276" t="s">
        <v>252</v>
      </c>
      <c r="E8" s="277"/>
      <c r="F8" s="277"/>
      <c r="G8" s="278" t="s">
        <v>253</v>
      </c>
    </row>
    <row r="9" customFormat="false" ht="15" hidden="false" customHeight="false" outlineLevel="0" collapsed="false">
      <c r="D9" s="1" t="s">
        <v>254</v>
      </c>
    </row>
    <row r="12" customFormat="false" ht="15" hidden="false" customHeight="false" outlineLevel="0" collapsed="false">
      <c r="D12" s="276" t="n">
        <v>12</v>
      </c>
      <c r="E12" s="276" t="s">
        <v>255</v>
      </c>
      <c r="F12" s="277"/>
      <c r="G12" s="277"/>
      <c r="H12" s="278" t="s">
        <v>256</v>
      </c>
    </row>
    <row r="14" customFormat="false" ht="15" hidden="false" customHeight="false" outlineLevel="0" collapsed="false">
      <c r="D14" s="1" t="s">
        <v>257</v>
      </c>
      <c r="E14" s="1" t="s">
        <v>258</v>
      </c>
    </row>
    <row r="19" customFormat="false" ht="22.05" hidden="false" customHeight="false" outlineLevel="0" collapsed="false">
      <c r="D19" s="281" t="s">
        <v>259</v>
      </c>
    </row>
    <row r="20" customFormat="false" ht="15" hidden="false" customHeight="false" outlineLevel="0" collapsed="false">
      <c r="D20" s="276" t="n">
        <v>1</v>
      </c>
      <c r="E20" s="276" t="s">
        <v>260</v>
      </c>
      <c r="F20" s="277"/>
      <c r="G20" s="277"/>
      <c r="H20" s="278" t="s">
        <v>261</v>
      </c>
    </row>
    <row r="21" customFormat="false" ht="15" hidden="false" customHeight="false" outlineLevel="0" collapsed="false">
      <c r="D21" s="276" t="n">
        <v>1</v>
      </c>
      <c r="E21" s="276" t="n">
        <v>78201465351</v>
      </c>
      <c r="F21" s="277"/>
      <c r="G21" s="277"/>
      <c r="H21" s="278" t="s">
        <v>262</v>
      </c>
    </row>
    <row r="22" customFormat="false" ht="15" hidden="false" customHeight="false" outlineLevel="0" collapsed="false">
      <c r="D22" s="276" t="n">
        <v>2</v>
      </c>
      <c r="E22" s="276" t="s">
        <v>263</v>
      </c>
      <c r="F22" s="277"/>
      <c r="G22" s="277"/>
      <c r="H22" s="278" t="s">
        <v>264</v>
      </c>
    </row>
    <row r="23" customFormat="false" ht="15" hidden="false" customHeight="false" outlineLevel="0" collapsed="false">
      <c r="D23" s="276" t="n">
        <v>12</v>
      </c>
      <c r="E23" s="276" t="s">
        <v>265</v>
      </c>
      <c r="F23" s="277"/>
      <c r="G23" s="277"/>
      <c r="H23" s="278" t="s">
        <v>266</v>
      </c>
    </row>
    <row r="24" customFormat="false" ht="15" hidden="false" customHeight="false" outlineLevel="0" collapsed="false">
      <c r="C24" s="282"/>
      <c r="D24" s="276" t="n">
        <v>100</v>
      </c>
      <c r="E24" s="276" t="s">
        <v>267</v>
      </c>
      <c r="H24" s="274" t="s">
        <v>268</v>
      </c>
    </row>
  </sheetData>
  <hyperlinks>
    <hyperlink ref="C5" r:id="rId1" display="SN75468DR"/>
    <hyperlink ref="C7" r:id="rId2" display="https://www.mouser.com/ProductDetail/Adafruit/3825?qs=%252BEew9%252B0nqrAn6n76%252BB5vZg%3D%3D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Nicolas Alvarez</dc:creator>
  <dc:description/>
  <dc:language>en-US</dc:language>
  <cp:lastModifiedBy/>
  <dcterms:modified xsi:type="dcterms:W3CDTF">2026-07-11T21:43:04Z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