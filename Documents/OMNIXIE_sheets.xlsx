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A935178C-2B01-4956-B09C-D10451DA482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BOM" sheetId="4" r:id="rId1"/>
    <sheet name="CH32V003F4U6 PIN FUNCTIONS" sheetId="1" r:id="rId2"/>
    <sheet name="COST ESTIMATES" sheetId="3" r:id="rId3"/>
    <sheet name="ARCHIV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<sst xmlns="http://schemas.openxmlformats.org/spreadsheetml/2006/main" count="280" uniqueCount="227">
  <si>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</si>
  <si>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</si>
  <si>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</si>
  <si>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</si>
  <si>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</si>
  <si>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</si>
  <si>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</si>
  <si>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</si>
  <si>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</si>
  <si>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</si>
  <si>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</si>
  <si>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</si>
  <si>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</si>
  <si>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</si>
  <si>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</si>
  <si>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</si>
  <si>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</si>
  <si>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</si>
  <si>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</si>
  <si>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</si>
  <si>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</si>
  <si>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</si>
  <si>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</si>
  <si>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</si>
  <si>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</si>
  <si>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</si>
  <si>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</si>
  <si>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</si>
  <si>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</si>
  <si>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</si>
  <si>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</si>
  <si>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</si>
  <si>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</si>
  <si>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</si>
  <si>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</si>
  <si>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</si>
  <si>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</si>
  <si>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</si>
  <si>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</si>
  <si>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</si>
  <si>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</si>
  <si>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</si>
  <si>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</si>
  <si>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</si>
  <si>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</si>
  <si>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</si>
  <si>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</si>
  <si>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</si>
  <si>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</si>
  <si>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</si>
  <si>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</si>
  <si>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</si>
  <si>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</si>
  <si>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</si>
  <si>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</si>
  <si>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</si>
  <si>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</si>
  <si>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</si>
  <si>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</si>
  <si>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</si>
  <si>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</si>
  <si>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</si>
  <si>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</si>
  <si>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</si>
  <si>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</si>
  <si>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</si>
  <si>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</si>
  <si>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</si>
  <si>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</si>
  <si>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</si>
  <si>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</si>
  <si>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</si>
  <si>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</si>
  <si>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</si>
  <si>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</si>
  <si>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</si>
  <si>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</si>
  <si>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</si>
  <si>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</si>
  <si>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</si>
  <si>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</si>
  <si>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</si>
  <si>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</si>
  <si>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</si>
  <si>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</si>
  <si>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</si>
  <si>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</si>
  <si>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</si>
  <si>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</si>
  <si>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</si>
  <si>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</si>
  <si>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</si>
  <si>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</si>
  <si>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</si>
  <si>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</si>
  <si>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</si>
  <si>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</si>
  <si>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</si>
  <si>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</si>
  <si>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</si>
  <si>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</si>
  <si>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</si>
  <si>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</si>
  <si>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</si>
  <si>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</si>
  <si>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</si>
  <si>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</si>
  <si>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</si>
  <si>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</si>
  <si>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</si>
  <si>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</si>
  <si>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</si>
  <si>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</si>
  <si>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</si>
  <si>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</si>
  <si>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</si>
  <si>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</si>
  <si>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</si>
  <si>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</si>
  <si>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</si>
  <si>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</si>
  <si>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</si>
  <si>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</si>
  <si>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</si>
  <si>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</si>
  <si>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</si>
  <si>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</si>
  <si>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</si>
  <si>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</si>
  <si>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</si>
  <si>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</si>
  <si>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</si>
  <si>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</si>
  <si>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</si>
  <si>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</si>
  <si>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</si>
  <si>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</si>
  <si>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</si>
  <si>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</si>
  <si>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</si>
  <si>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</si>
  <si>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</si>
  <si>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</si>
  <si>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</si>
  <si>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</si>
  <si>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</si>
  <si>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</si>
  <si>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</si>
  <si>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</si>
  <si>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</si>
  <si>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</si>
  <si>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</si>
  <si>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</si>
  <si>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</si>
  <si>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</si>
  <si>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</si>
  <si>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</si>
  <si>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</si>
  <si>
    <t xml:space="preserve">GRM21BR71A106MA73K </t>
  </si>
  <si>
    <t xml:space="preserve">Multilayer Ceramic Capacitors MLCC - SMD/SMT 10 uF 10 VDC 20% 0805 X7R </t>
  </si>
  <si>
    <t>C1</t>
  </si>
  <si>
    <t>C2</t>
  </si>
  <si>
    <t>C3, C4, C5</t>
  </si>
  <si>
    <t>R6</t>
  </si>
  <si>
    <t>R7</t>
  </si>
  <si>
    <t>Value</t>
  </si>
  <si>
    <t>-</t>
  </si>
  <si>
    <t>10uF</t>
  </si>
  <si>
    <t>0.22uF</t>
  </si>
  <si>
    <t>1uF</t>
  </si>
  <si>
    <t>R3,R5</t>
  </si>
  <si>
    <t>15k</t>
  </si>
  <si>
    <t>100k</t>
  </si>
  <si>
    <t>R8,R9</t>
  </si>
  <si>
    <t>R11,R12</t>
  </si>
  <si>
    <t>1k</t>
  </si>
  <si>
    <t>R13,R14</t>
  </si>
  <si>
    <t>5.1k</t>
  </si>
  <si>
    <t>R15</t>
  </si>
  <si>
    <t>1.5k</t>
  </si>
  <si>
    <t>Resistor_SMD:R_0402_1005Metric_Pad0.72x0.64mm_HandSolder</t>
  </si>
  <si>
    <t>Resistor_SMD:R_2010_5025Metric</t>
  </si>
  <si>
    <t>Resistor_SMD:R_0603_1608Metric</t>
  </si>
  <si>
    <t>Capacitor_SMD:C_0805_2012Metric</t>
  </si>
  <si>
    <t>Capacitor_SMD:C_1210_3225Metric</t>
  </si>
  <si>
    <t>Capacitors/Resistors</t>
  </si>
  <si>
    <t>U1</t>
  </si>
  <si>
    <t>U3</t>
  </si>
  <si>
    <t>U4</t>
  </si>
  <si>
    <t>J4</t>
  </si>
  <si>
    <t>J2, J3</t>
  </si>
  <si>
    <t>TP6,TP8,TP10,TP11,TP12,TP13,TP14</t>
  </si>
  <si>
    <t>Q0,Q1,Q2,Q3,Q4,Q5,Q6,Q7,Q8,Q9,Q10,Q11</t>
  </si>
  <si>
    <t>Q12</t>
  </si>
  <si>
    <t>T1</t>
  </si>
  <si>
    <t>D1</t>
  </si>
  <si>
    <t>J6,J7</t>
  </si>
  <si>
    <t xml:space="preserve">CR0603-FX-5101ELF </t>
  </si>
  <si>
    <t xml:space="preserve">Thick Film Resistors - SMD 5.1K ohm 1% </t>
  </si>
  <si>
    <t xml:space="preserve">CRCW04021K50JNEDC </t>
  </si>
  <si>
    <t xml:space="preserve">Thick Film Resistors - SMD 1/16watt 1.5Kohms 5% Commercial Use </t>
  </si>
  <si>
    <t xml:space="preserve">Thick Film Resistors - SMD General Purpose Chip Resistor 2010, 15kOhms, 5%, 3/4W </t>
  </si>
  <si>
    <t xml:space="preserve">RC2010JK-0715KL </t>
  </si>
  <si>
    <t xml:space="preserve">Thick Film Resistors - SMD WRIS-RSKS 47 Ohms 5 % 0.1 W 0402 AEC-Q200 </t>
  </si>
  <si>
    <t xml:space="preserve">GRM43DR7LV224KW01L </t>
  </si>
  <si>
    <t xml:space="preserve">Multilayer Ceramic Capacitors MLCC - SMD/SMT 0.22 uF 630 VDC 10% 1812 X7R </t>
  </si>
  <si>
    <t>USB4120-03-C</t>
  </si>
  <si>
    <t>0.8 mm pitch, SMT, parallel/ vertical, Board-to-board Connector, 16 pos., Socket receptacle</t>
  </si>
  <si>
    <t>0.8 mm pitch, SMT, parallel/ vertical, Board-to-board Connector, 16 pos., Pin header</t>
  </si>
  <si>
    <t>J8</t>
  </si>
  <si>
    <t>CL10B105KA8NFNC</t>
  </si>
  <si>
    <t>1 µF ±10% 25V Ceramic Capacitor X7R 0603 (1608 Metric)</t>
  </si>
  <si>
    <t>RK73H1JTTD1001F</t>
  </si>
  <si>
    <t>1 kOhms ±1% 0.125W, 1/8W Chip Resistor 0603 (1608 Metric) Automotive AEC-Q200 Thick Film</t>
  </si>
  <si>
    <t>RC0402FR-07100KL</t>
  </si>
  <si>
    <t>100 kOhms ±1% 0.063W, 1/16W Chip Resistor 0402 (1005 Metric) Moisture Resistant Thick Film</t>
  </si>
  <si>
    <t>PA0603FRE570R01L</t>
  </si>
  <si>
    <t>10 mOhms ±1% 0.5W, 1/2W Chip Resistor 0603 (1608 Metric) Automotive AEC-Q200, Current Sense, Moisture Resistant Metal Element</t>
  </si>
  <si>
    <t>10m</t>
  </si>
  <si>
    <t>Capacitor_SMD:C_0603_1608Metric</t>
  </si>
  <si>
    <t>https://www.digikey.com/en/products/detail/koa-speer-electronics-inc/RCUCTE/11476561</t>
  </si>
  <si>
    <t>2.54mm Pitch Pin Headers</t>
  </si>
  <si>
    <t>D2, D3</t>
  </si>
  <si>
    <t>Green 525nm LED Indication - Discrete 3.2V 0603 (1608 Metric)</t>
  </si>
  <si>
    <t>150060GS73220</t>
  </si>
  <si>
    <t>Semiconductors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</si>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</sst>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237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6" fillId="0" borderId="0" xfId="0" applyFont="1"/>
    <xf numFmtId="0" fontId="2" fillId="0" borderId="19" xfId="0" applyFont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8" borderId="19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0" fillId="13" borderId="0" xfId="0" applyFill="1"/>
    <xf numFmtId="0" fontId="8" fillId="13" borderId="0" xfId="0" applyFont="1" applyFill="1"/>
    <xf numFmtId="0" fontId="7" fillId="13" borderId="2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top" wrapText="1"/>
    </xf>
    <xf numFmtId="0" fontId="7" fillId="13" borderId="2" xfId="0" applyFont="1" applyFill="1" applyBorder="1" applyAlignment="1">
      <alignment horizontal="center"/>
    </xf>
    <xf numFmtId="0" fontId="6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7" fillId="13" borderId="2" xfId="0" applyFont="1" applyFill="1" applyBorder="1"/>
    <xf numFmtId="0" fontId="7" fillId="16" borderId="2" xfId="0" applyFont="1" applyFill="1" applyBorder="1"/>
    <xf numFmtId="0" fontId="7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vertical="center"/>
    </xf>
    <xf numFmtId="0" fontId="7" fillId="16" borderId="2" xfId="0" applyFont="1" applyFill="1" applyBorder="1" applyAlignment="1">
      <alignment horizontal="center" vertical="top" wrapText="1"/>
    </xf>
    <xf numFmtId="0" fontId="0" fillId="16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top" wrapText="1"/>
    </xf>
    <xf numFmtId="0" fontId="17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6" fillId="13" borderId="3" xfId="0" applyFont="1" applyFill="1" applyBorder="1"/>
    <xf numFmtId="0" fontId="8" fillId="13" borderId="4" xfId="0" applyFont="1" applyFill="1" applyBorder="1"/>
    <xf numFmtId="0" fontId="7" fillId="13" borderId="3" xfId="0" applyFont="1" applyFill="1" applyBorder="1"/>
    <xf numFmtId="0" fontId="7" fillId="16" borderId="3" xfId="0" applyFont="1" applyFill="1" applyBorder="1"/>
    <xf numFmtId="0" fontId="8" fillId="16" borderId="4" xfId="0" applyFont="1" applyFill="1" applyBorder="1"/>
    <xf numFmtId="0" fontId="7" fillId="11" borderId="29" xfId="0" applyFont="1" applyFill="1" applyBorder="1"/>
    <xf numFmtId="0" fontId="7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top" wrapText="1"/>
    </xf>
    <xf numFmtId="0" fontId="7" fillId="11" borderId="30" xfId="0" applyFont="1" applyFill="1" applyBorder="1" applyAlignment="1">
      <alignment horizontal="center"/>
    </xf>
    <xf numFmtId="0" fontId="6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left" vertical="center"/>
    </xf>
    <xf numFmtId="0" fontId="7" fillId="11" borderId="30" xfId="0" applyFont="1" applyFill="1" applyBorder="1"/>
    <xf numFmtId="0" fontId="8" fillId="11" borderId="31" xfId="0" applyFont="1" applyFill="1" applyBorder="1"/>
    <xf numFmtId="0" fontId="6" fillId="12" borderId="22" xfId="0" applyFont="1" applyFill="1" applyBorder="1"/>
    <xf numFmtId="0" fontId="7" fillId="12" borderId="23" xfId="0" applyFont="1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top" wrapText="1"/>
    </xf>
    <xf numFmtId="0" fontId="7" fillId="12" borderId="23" xfId="0" applyFont="1" applyFill="1" applyBorder="1" applyAlignment="1">
      <alignment horizontal="center"/>
    </xf>
    <xf numFmtId="0" fontId="6" fillId="12" borderId="23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left" vertical="center"/>
    </xf>
    <xf numFmtId="0" fontId="7" fillId="12" borderId="23" xfId="0" applyFont="1" applyFill="1" applyBorder="1"/>
    <xf numFmtId="0" fontId="8" fillId="12" borderId="25" xfId="0" applyFont="1" applyFill="1" applyBorder="1"/>
    <xf numFmtId="0" fontId="7" fillId="11" borderId="32" xfId="0" applyFont="1" applyFill="1" applyBorder="1"/>
    <xf numFmtId="0" fontId="7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top" wrapText="1"/>
    </xf>
    <xf numFmtId="0" fontId="7" fillId="11" borderId="33" xfId="0" applyFont="1" applyFill="1" applyBorder="1" applyAlignment="1">
      <alignment horizontal="center"/>
    </xf>
    <xf numFmtId="0" fontId="6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left" vertical="center"/>
    </xf>
    <xf numFmtId="0" fontId="7" fillId="11" borderId="33" xfId="0" applyFont="1" applyFill="1" applyBorder="1"/>
    <xf numFmtId="0" fontId="8" fillId="11" borderId="34" xfId="0" applyFont="1" applyFill="1" applyBorder="1"/>
    <xf numFmtId="0" fontId="8" fillId="0" borderId="35" xfId="0" applyFont="1" applyBorder="1"/>
    <xf numFmtId="0" fontId="0" fillId="0" borderId="35" xfId="0" applyBorder="1"/>
    <xf numFmtId="0" fontId="7" fillId="13" borderId="29" xfId="0" applyFont="1" applyFill="1" applyBorder="1"/>
    <xf numFmtId="0" fontId="7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/>
    </xf>
    <xf numFmtId="0" fontId="6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left" vertical="center"/>
    </xf>
    <xf numFmtId="0" fontId="7" fillId="13" borderId="30" xfId="0" applyFont="1" applyFill="1" applyBorder="1"/>
    <xf numFmtId="0" fontId="8" fillId="13" borderId="31" xfId="0" applyFont="1" applyFill="1" applyBorder="1"/>
    <xf numFmtId="0" fontId="6" fillId="15" borderId="22" xfId="0" applyFont="1" applyFill="1" applyBorder="1"/>
    <xf numFmtId="0" fontId="7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center" vertical="top" wrapText="1"/>
    </xf>
    <xf numFmtId="0" fontId="0" fillId="15" borderId="23" xfId="0" applyFill="1" applyBorder="1" applyAlignment="1">
      <alignment horizontal="center"/>
    </xf>
    <xf numFmtId="0" fontId="6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left" vertical="center"/>
    </xf>
    <xf numFmtId="0" fontId="7" fillId="15" borderId="23" xfId="0" applyFont="1" applyFill="1" applyBorder="1"/>
    <xf numFmtId="0" fontId="8" fillId="15" borderId="25" xfId="0" applyFont="1" applyFill="1" applyBorder="1"/>
    <xf numFmtId="0" fontId="7" fillId="13" borderId="32" xfId="0" applyFont="1" applyFill="1" applyBorder="1"/>
    <xf numFmtId="0" fontId="7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center"/>
    </xf>
    <xf numFmtId="0" fontId="6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left" vertical="center"/>
    </xf>
    <xf numFmtId="0" fontId="7" fillId="13" borderId="33" xfId="0" applyFont="1" applyFill="1" applyBorder="1"/>
    <xf numFmtId="0" fontId="8" fillId="13" borderId="34" xfId="0" applyFont="1" applyFill="1" applyBorder="1"/>
    <xf numFmtId="0" fontId="13" fillId="0" borderId="36" xfId="3" applyFont="1" applyBorder="1" applyAlignment="1" applyProtection="1">
      <alignment horizontal="right"/>
      <protection locked="0"/>
    </xf>
    <xf numFmtId="14" fontId="14" fillId="0" borderId="17" xfId="3" applyNumberFormat="1" applyFont="1" applyBorder="1" applyAlignment="1" applyProtection="1">
      <alignment horizontal="center"/>
      <protection locked="0"/>
    </xf>
    <xf numFmtId="0" fontId="6" fillId="10" borderId="22" xfId="0" applyFont="1" applyFill="1" applyBorder="1"/>
    <xf numFmtId="0" fontId="7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center" vertical="top" wrapText="1"/>
    </xf>
    <xf numFmtId="0" fontId="7" fillId="10" borderId="23" xfId="0" applyFont="1" applyFill="1" applyBorder="1" applyAlignment="1">
      <alignment horizontal="center"/>
    </xf>
    <xf numFmtId="0" fontId="6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left" vertical="center"/>
    </xf>
    <xf numFmtId="0" fontId="7" fillId="10" borderId="23" xfId="0" applyFont="1" applyFill="1" applyBorder="1"/>
    <xf numFmtId="0" fontId="8" fillId="10" borderId="25" xfId="0" applyFont="1" applyFill="1" applyBorder="1"/>
    <xf numFmtId="1" fontId="0" fillId="16" borderId="2" xfId="0" applyNumberForma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left"/>
    </xf>
    <xf numFmtId="0" fontId="0" fillId="16" borderId="2" xfId="0" applyFill="1" applyBorder="1" applyAlignment="1">
      <alignment horizontal="left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18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18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>
      <alignment horizontal="center"/>
    </xf>
    <xf numFmtId="0" fontId="7" fillId="8" borderId="3" xfId="0" applyFont="1" applyFill="1" applyBorder="1"/>
    <xf numFmtId="0" fontId="7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wrapText="1"/>
    </xf>
    <xf numFmtId="0" fontId="7" fillId="8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7" fillId="8" borderId="2" xfId="0" applyFont="1" applyFill="1" applyBorder="1"/>
    <xf numFmtId="0" fontId="8" fillId="8" borderId="4" xfId="0" applyFont="1" applyFill="1" applyBorder="1"/>
    <xf numFmtId="0" fontId="6" fillId="3" borderId="22" xfId="0" applyFont="1" applyFill="1" applyBorder="1"/>
    <xf numFmtId="0" fontId="7" fillId="18" borderId="2" xfId="0" applyFont="1" applyFill="1" applyBorder="1"/>
    <xf numFmtId="0" fontId="7" fillId="18" borderId="2" xfId="0" applyFont="1" applyFill="1" applyBorder="1" applyAlignment="1">
      <alignment horizontal="center"/>
    </xf>
    <xf numFmtId="0" fontId="0" fillId="18" borderId="2" xfId="0" applyFill="1" applyBorder="1"/>
    <xf numFmtId="0" fontId="7" fillId="18" borderId="2" xfId="0" applyFont="1" applyFill="1" applyBorder="1" applyAlignment="1">
      <alignment vertical="top"/>
    </xf>
    <xf numFmtId="0" fontId="6" fillId="18" borderId="2" xfId="0" applyFont="1" applyFill="1" applyBorder="1" applyAlignment="1">
      <alignment horizontal="center" vertical="center"/>
    </xf>
    <xf numFmtId="0" fontId="7" fillId="18" borderId="2" xfId="0" applyFont="1" applyFill="1" applyBorder="1" applyAlignment="1">
      <alignment vertical="center"/>
    </xf>
    <xf numFmtId="0" fontId="13" fillId="0" borderId="16" xfId="3" applyFont="1" applyBorder="1" applyAlignment="1" applyProtection="1">
      <alignment horizontal="center" vertical="center"/>
      <protection locked="0"/>
    </xf>
    <xf numFmtId="0" fontId="13" fillId="0" borderId="0" xfId="3" applyFont="1" applyBorder="1" applyAlignment="1" applyProtection="1">
      <alignment horizontal="center" vertical="center"/>
      <protection locked="0"/>
    </xf>
    <xf numFmtId="0" fontId="13" fillId="0" borderId="17" xfId="3" applyFont="1" applyBorder="1" applyAlignment="1" applyProtection="1">
      <alignment horizontal="center" vertical="center"/>
      <protection locked="0"/>
    </xf>
    <xf numFmtId="0" fontId="11" fillId="9" borderId="37" xfId="0" applyFont="1" applyFill="1" applyBorder="1" applyAlignment="1">
      <alignment horizontal="center"/>
    </xf>
    <xf numFmtId="0" fontId="11" fillId="9" borderId="38" xfId="0" applyFont="1" applyFill="1" applyBorder="1" applyAlignment="1">
      <alignment horizontal="center"/>
    </xf>
    <xf numFmtId="0" fontId="11" fillId="9" borderId="38" xfId="0" applyFont="1" applyFill="1" applyBorder="1"/>
    <xf numFmtId="0" fontId="11" fillId="9" borderId="39" xfId="0" applyFont="1" applyFill="1" applyBorder="1" applyAlignment="1">
      <alignment horizontal="center"/>
    </xf>
    <xf numFmtId="0" fontId="7" fillId="18" borderId="3" xfId="0" applyFont="1" applyFill="1" applyBorder="1"/>
    <xf numFmtId="0" fontId="8" fillId="18" borderId="4" xfId="0" applyFont="1" applyFill="1" applyBorder="1"/>
    <xf numFmtId="0" fontId="7" fillId="13" borderId="5" xfId="0" applyFont="1" applyFill="1" applyBorder="1"/>
    <xf numFmtId="0" fontId="7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center" vertical="top" wrapText="1"/>
    </xf>
    <xf numFmtId="0" fontId="7" fillId="13" borderId="6" xfId="0" applyFont="1" applyFill="1" applyBorder="1" applyAlignment="1">
      <alignment horizontal="center"/>
    </xf>
    <xf numFmtId="0" fontId="6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left" vertical="center"/>
    </xf>
    <xf numFmtId="0" fontId="7" fillId="13" borderId="6" xfId="0" applyFont="1" applyFill="1" applyBorder="1"/>
    <xf numFmtId="0" fontId="8" fillId="13" borderId="7" xfId="0" applyFont="1" applyFill="1" applyBorder="1"/>
    <xf numFmtId="0" fontId="7" fillId="13" borderId="30" xfId="0" applyFont="1" applyFill="1" applyBorder="1" applyAlignment="1">
      <alignment horizontal="center" vertical="top" wrapText="1"/>
    </xf>
    <xf numFmtId="0" fontId="7" fillId="3" borderId="23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wrapText="1"/>
    </xf>
    <xf numFmtId="0" fontId="7" fillId="3" borderId="23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left" vertical="center"/>
    </xf>
    <xf numFmtId="0" fontId="7" fillId="3" borderId="23" xfId="0" applyFont="1" applyFill="1" applyBorder="1"/>
    <xf numFmtId="0" fontId="8" fillId="3" borderId="25" xfId="0" applyFont="1" applyFill="1" applyBorder="1"/>
    <xf numFmtId="0" fontId="7" fillId="13" borderId="33" xfId="0" applyFont="1" applyFill="1" applyBorder="1" applyAlignment="1">
      <alignment horizontal="center" vertical="top" wrapText="1"/>
    </xf>
    <xf numFmtId="0" fontId="8" fillId="13" borderId="35" xfId="0" applyFont="1" applyFill="1" applyBorder="1"/>
    <xf numFmtId="0" fontId="0" fillId="13" borderId="35" xfId="0" applyFill="1" applyBorder="1"/>
    <xf numFmtId="0" fontId="7" fillId="8" borderId="40" xfId="0" applyFont="1" applyFill="1" applyBorder="1"/>
    <xf numFmtId="0" fontId="7" fillId="8" borderId="41" xfId="0" applyFont="1" applyFill="1" applyBorder="1" applyAlignment="1">
      <alignment horizontal="center" vertical="center"/>
    </xf>
    <xf numFmtId="0" fontId="0" fillId="8" borderId="41" xfId="0" applyFill="1" applyBorder="1" applyAlignment="1">
      <alignment horizontal="center" wrapText="1"/>
    </xf>
    <xf numFmtId="0" fontId="7" fillId="8" borderId="41" xfId="0" applyFont="1" applyFill="1" applyBorder="1" applyAlignment="1">
      <alignment horizontal="center"/>
    </xf>
    <xf numFmtId="0" fontId="6" fillId="8" borderId="41" xfId="0" applyFont="1" applyFill="1" applyBorder="1" applyAlignment="1">
      <alignment horizontal="center" vertical="center"/>
    </xf>
    <xf numFmtId="0" fontId="7" fillId="8" borderId="41" xfId="0" applyFont="1" applyFill="1" applyBorder="1" applyAlignment="1">
      <alignment horizontal="left" vertical="center"/>
    </xf>
    <xf numFmtId="0" fontId="7" fillId="8" borderId="41" xfId="0" applyFont="1" applyFill="1" applyBorder="1"/>
    <xf numFmtId="0" fontId="8" fillId="8" borderId="42" xfId="0" applyFont="1" applyFill="1" applyBorder="1"/>
    <xf numFmtId="0" fontId="8" fillId="0" borderId="43" xfId="0" applyFont="1" applyBorder="1"/>
    <xf numFmtId="0" fontId="0" fillId="0" borderId="43" xfId="0" applyBorder="1"/>
    <xf numFmtId="0" fontId="8" fillId="0" borderId="44" xfId="0" applyFont="1" applyBorder="1"/>
    <xf numFmtId="0" fontId="0" fillId="0" borderId="44" xfId="0" applyBorder="1"/>
    <xf numFmtId="0" fontId="7" fillId="16" borderId="29" xfId="0" applyFont="1" applyFill="1" applyBorder="1"/>
    <xf numFmtId="0" fontId="0" fillId="16" borderId="30" xfId="0" applyFill="1" applyBorder="1" applyAlignment="1">
      <alignment horizontal="center" vertical="center"/>
    </xf>
    <xf numFmtId="0" fontId="0" fillId="16" borderId="30" xfId="0" applyFill="1" applyBorder="1" applyAlignment="1">
      <alignment horizontal="center" vertical="top" wrapText="1"/>
    </xf>
    <xf numFmtId="0" fontId="0" fillId="16" borderId="30" xfId="0" applyFill="1" applyBorder="1" applyAlignment="1">
      <alignment horizontal="center"/>
    </xf>
    <xf numFmtId="0" fontId="17" fillId="16" borderId="30" xfId="0" applyFont="1" applyFill="1" applyBorder="1" applyAlignment="1">
      <alignment horizontal="center" vertical="center"/>
    </xf>
    <xf numFmtId="0" fontId="0" fillId="16" borderId="30" xfId="0" applyFill="1" applyBorder="1" applyAlignment="1">
      <alignment vertical="center"/>
    </xf>
    <xf numFmtId="0" fontId="0" fillId="16" borderId="30" xfId="0" applyFill="1" applyBorder="1" applyAlignment="1">
      <alignment horizontal="left"/>
    </xf>
    <xf numFmtId="0" fontId="7" fillId="16" borderId="30" xfId="0" applyFont="1" applyFill="1" applyBorder="1"/>
    <xf numFmtId="0" fontId="8" fillId="16" borderId="31" xfId="0" applyFont="1" applyFill="1" applyBorder="1"/>
    <xf numFmtId="0" fontId="6" fillId="17" borderId="45" xfId="0" applyFont="1" applyFill="1" applyBorder="1"/>
    <xf numFmtId="0" fontId="7" fillId="17" borderId="46" xfId="0" applyFont="1" applyFill="1" applyBorder="1" applyAlignment="1">
      <alignment horizontal="center" vertical="center"/>
    </xf>
    <xf numFmtId="0" fontId="0" fillId="17" borderId="46" xfId="0" applyFill="1" applyBorder="1" applyAlignment="1">
      <alignment horizontal="center" wrapText="1"/>
    </xf>
    <xf numFmtId="0" fontId="7" fillId="17" borderId="46" xfId="0" applyFont="1" applyFill="1" applyBorder="1" applyAlignment="1">
      <alignment horizontal="center"/>
    </xf>
    <xf numFmtId="0" fontId="6" fillId="17" borderId="46" xfId="0" applyFont="1" applyFill="1" applyBorder="1" applyAlignment="1">
      <alignment horizontal="center" vertical="center"/>
    </xf>
    <xf numFmtId="0" fontId="7" fillId="17" borderId="46" xfId="0" applyFont="1" applyFill="1" applyBorder="1" applyAlignment="1">
      <alignment horizontal="left" vertical="center"/>
    </xf>
    <xf numFmtId="0" fontId="7" fillId="17" borderId="46" xfId="0" applyFont="1" applyFill="1" applyBorder="1"/>
    <xf numFmtId="0" fontId="8" fillId="17" borderId="47" xfId="0" applyFont="1" applyFill="1" applyBorder="1"/>
    <xf numFmtId="0" fontId="7" fillId="16" borderId="32" xfId="0" applyFont="1" applyFill="1" applyBorder="1"/>
    <xf numFmtId="0" fontId="0" fillId="16" borderId="33" xfId="0" applyFill="1" applyBorder="1" applyAlignment="1">
      <alignment horizontal="center" vertical="center"/>
    </xf>
    <xf numFmtId="0" fontId="0" fillId="16" borderId="33" xfId="0" applyFill="1" applyBorder="1" applyAlignment="1">
      <alignment horizontal="center" vertical="top" wrapText="1"/>
    </xf>
    <xf numFmtId="0" fontId="0" fillId="16" borderId="33" xfId="0" applyFill="1" applyBorder="1" applyAlignment="1">
      <alignment horizontal="center"/>
    </xf>
    <xf numFmtId="0" fontId="17" fillId="16" borderId="33" xfId="0" applyFont="1" applyFill="1" applyBorder="1" applyAlignment="1">
      <alignment horizontal="center" vertical="center"/>
    </xf>
    <xf numFmtId="0" fontId="0" fillId="16" borderId="33" xfId="0" applyFill="1" applyBorder="1" applyAlignment="1">
      <alignment vertical="center"/>
    </xf>
    <xf numFmtId="0" fontId="0" fillId="16" borderId="33" xfId="0" applyFill="1" applyBorder="1" applyAlignment="1">
      <alignment horizontal="left"/>
    </xf>
    <xf numFmtId="0" fontId="7" fillId="16" borderId="33" xfId="0" applyFont="1" applyFill="1" applyBorder="1"/>
    <xf numFmtId="0" fontId="8" fillId="16" borderId="34" xfId="0" applyFont="1" applyFill="1" applyBorder="1"/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0"/>
  <tableStyles count="0" defaultTableStyle="TableStyleMedium2" defaultPivotStyle="PivotStyleLight16"/>
  <colors>
    <mruColors>
      <color rgb="FFCC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nlohr/rv003usb" TargetMode="External"/><Relationship Id="rId1" Type="http://schemas.openxmlformats.org/officeDocument/2006/relationships/hyperlink" Target="https://github.com/cnlohr/ch32fun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M32"/>
  <sheetViews>
    <sheetView zoomScale="98" zoomScaleNormal="130" workbookViewId="0">
      <selection activeCell="C15" sqref="C15"/>
    </sheetView>
  </sheetViews>
  <sheetFormatPr defaultRowHeight="15" x14ac:dyDescent="0.25"/>
  <cols>
    <col min="1" max="1" width="19.42578125" bestFit="1" customWidth="1"/>
    <col min="2" max="2" width="11.85546875" bestFit="1" customWidth="1"/>
    <col min="3" max="3" width="28.140625" bestFit="1" customWidth="1"/>
    <col min="4" max="4" width="16.28515625" customWidth="1"/>
    <col min="5" max="5" width="9.85546875" customWidth="1"/>
    <col min="6" max="6" width="6.28515625" bestFit="1" customWidth="1"/>
    <col min="7" max="7" width="121.5703125" bestFit="1" customWidth="1"/>
    <col min="8" max="8" width="59.42578125" bestFit="1" customWidth="1"/>
    <col min="9" max="9" width="21.42578125" bestFit="1" customWidth="1"/>
    <col min="10" max="10" width="11.7109375" bestFit="1" customWidth="1"/>
    <col min="11" max="11" width="5" bestFit="1" customWidth="1"/>
    <col min="12" max="12" width="21.7109375" bestFit="1" customWidth="1"/>
  </cols>
  <sheetData>
    <row r="1" spans="1:13" ht="15.75" customHeight="1" thickBot="1" x14ac:dyDescent="0.3">
      <c r="A1" s="39" t="s">
        <v>142</v>
      </c>
      <c r="B1" s="40">
        <v>1</v>
      </c>
      <c r="C1" s="149" t="s">
        <v>139</v>
      </c>
      <c r="D1" s="150"/>
      <c r="E1" s="150"/>
      <c r="F1" s="150"/>
      <c r="G1" s="150"/>
      <c r="H1" s="150"/>
      <c r="I1" s="150"/>
      <c r="J1" s="150"/>
      <c r="K1" s="151"/>
      <c r="L1" s="36"/>
      <c r="M1" s="36"/>
    </row>
    <row r="2" spans="1:13" ht="15.75" customHeight="1" thickBot="1" x14ac:dyDescent="0.3">
      <c r="A2" s="41" t="s">
        <v>143</v>
      </c>
      <c r="B2" s="40">
        <v>1</v>
      </c>
      <c r="C2" s="152"/>
      <c r="D2" s="153"/>
      <c r="E2" s="153"/>
      <c r="F2" s="153"/>
      <c r="G2" s="153"/>
      <c r="H2" s="153"/>
      <c r="I2" s="153"/>
      <c r="J2" s="153"/>
      <c r="K2" s="154"/>
      <c r="L2" s="36"/>
      <c r="M2" s="36"/>
    </row>
    <row r="3" spans="1:13" ht="15.75" customHeight="1" thickBot="1" x14ac:dyDescent="0.3">
      <c r="A3" s="41" t="s">
        <v>144</v>
      </c>
      <c r="B3" s="40">
        <v>1</v>
      </c>
      <c r="C3" s="146" t="s">
        <v>141</v>
      </c>
      <c r="D3" s="147"/>
      <c r="E3" s="147"/>
      <c r="F3" s="147"/>
      <c r="G3" s="147"/>
      <c r="H3" s="147"/>
      <c r="I3" s="147"/>
      <c r="J3" s="147"/>
      <c r="K3" s="148"/>
      <c r="L3" s="36"/>
      <c r="M3" s="36"/>
    </row>
    <row r="4" spans="1:13" ht="15.75" customHeight="1" thickBot="1" x14ac:dyDescent="0.3">
      <c r="A4" s="132" t="s">
        <v>140</v>
      </c>
      <c r="B4" s="133">
        <v>46017</v>
      </c>
      <c r="C4" s="171"/>
      <c r="D4" s="172"/>
      <c r="E4" s="172"/>
      <c r="F4" s="172"/>
      <c r="G4" s="172"/>
      <c r="H4" s="172"/>
      <c r="I4" s="172"/>
      <c r="J4" s="172"/>
      <c r="K4" s="173"/>
      <c r="L4" s="36"/>
      <c r="M4" s="36"/>
    </row>
    <row r="5" spans="1:13" s="109" customFormat="1" ht="16.5" thickBot="1" x14ac:dyDescent="0.3">
      <c r="A5" s="174" t="s">
        <v>99</v>
      </c>
      <c r="B5" s="175" t="s">
        <v>94</v>
      </c>
      <c r="C5" s="175" t="s">
        <v>93</v>
      </c>
      <c r="D5" s="175" t="s">
        <v>107</v>
      </c>
      <c r="E5" s="175" t="s">
        <v>165</v>
      </c>
      <c r="F5" s="175" t="s">
        <v>145</v>
      </c>
      <c r="G5" s="176" t="s">
        <v>95</v>
      </c>
      <c r="H5" s="175" t="s">
        <v>135</v>
      </c>
      <c r="I5" s="175" t="s">
        <v>136</v>
      </c>
      <c r="J5" s="175" t="s">
        <v>137</v>
      </c>
      <c r="K5" s="177" t="s">
        <v>138</v>
      </c>
      <c r="L5" s="108"/>
      <c r="M5" s="108"/>
    </row>
    <row r="6" spans="1:13" ht="15.75" thickTop="1" x14ac:dyDescent="0.25">
      <c r="A6" s="134" t="s">
        <v>92</v>
      </c>
      <c r="B6" s="135">
        <v>1</v>
      </c>
      <c r="C6" s="135" t="s">
        <v>97</v>
      </c>
      <c r="D6" s="136" t="s">
        <v>186</v>
      </c>
      <c r="E6" s="137" t="s">
        <v>166</v>
      </c>
      <c r="F6" s="138"/>
      <c r="G6" s="139" t="s">
        <v>105</v>
      </c>
      <c r="H6" s="140"/>
      <c r="I6" s="140"/>
      <c r="J6" s="140"/>
      <c r="K6" s="141"/>
      <c r="L6" s="36"/>
      <c r="M6" s="36"/>
    </row>
    <row r="7" spans="1:13" x14ac:dyDescent="0.25">
      <c r="A7" s="84"/>
      <c r="B7" s="85">
        <v>1</v>
      </c>
      <c r="C7" s="85" t="s">
        <v>96</v>
      </c>
      <c r="D7" s="86" t="s">
        <v>187</v>
      </c>
      <c r="E7" s="87" t="s">
        <v>166</v>
      </c>
      <c r="F7" s="88"/>
      <c r="G7" s="89" t="s">
        <v>106</v>
      </c>
      <c r="H7" s="90"/>
      <c r="I7" s="90"/>
      <c r="J7" s="90"/>
      <c r="K7" s="91"/>
      <c r="L7" s="36"/>
      <c r="M7" s="36"/>
    </row>
    <row r="8" spans="1:13" s="109" customFormat="1" ht="15.75" thickBot="1" x14ac:dyDescent="0.3">
      <c r="A8" s="100"/>
      <c r="B8" s="101">
        <v>1</v>
      </c>
      <c r="C8" s="101" t="s">
        <v>98</v>
      </c>
      <c r="D8" s="102" t="s">
        <v>188</v>
      </c>
      <c r="E8" s="103" t="s">
        <v>166</v>
      </c>
      <c r="F8" s="104"/>
      <c r="G8" s="105" t="s">
        <v>104</v>
      </c>
      <c r="H8" s="106"/>
      <c r="I8" s="106"/>
      <c r="J8" s="106"/>
      <c r="K8" s="107"/>
      <c r="L8" s="108"/>
      <c r="M8" s="108"/>
    </row>
    <row r="9" spans="1:13" ht="15.75" thickTop="1" x14ac:dyDescent="0.25">
      <c r="A9" s="92" t="s">
        <v>100</v>
      </c>
      <c r="B9" s="93">
        <v>1</v>
      </c>
      <c r="C9" s="143" t="s">
        <v>206</v>
      </c>
      <c r="D9" s="94" t="s">
        <v>189</v>
      </c>
      <c r="E9" s="95" t="s">
        <v>166</v>
      </c>
      <c r="F9" s="96"/>
      <c r="G9" s="97" t="s">
        <v>103</v>
      </c>
      <c r="H9" s="98"/>
      <c r="I9" s="98"/>
      <c r="J9" s="98"/>
      <c r="K9" s="99"/>
      <c r="L9" s="36"/>
      <c r="M9" s="36"/>
    </row>
    <row r="10" spans="1:13" s="60" customFormat="1" x14ac:dyDescent="0.25">
      <c r="A10" s="79"/>
      <c r="B10" s="62">
        <v>2</v>
      </c>
      <c r="C10" s="62" t="s">
        <v>166</v>
      </c>
      <c r="D10" s="63" t="s">
        <v>196</v>
      </c>
      <c r="E10" s="64" t="s">
        <v>166</v>
      </c>
      <c r="F10" s="65"/>
      <c r="G10" s="66" t="s">
        <v>221</v>
      </c>
      <c r="H10" s="67"/>
      <c r="I10" s="67"/>
      <c r="J10" s="67"/>
      <c r="K10" s="80"/>
      <c r="L10" s="61"/>
      <c r="M10" s="61"/>
    </row>
    <row r="11" spans="1:13" ht="45" x14ac:dyDescent="0.25">
      <c r="A11" s="81"/>
      <c r="B11" s="62">
        <v>1</v>
      </c>
      <c r="C11" s="62">
        <v>5005</v>
      </c>
      <c r="D11" s="63" t="s">
        <v>191</v>
      </c>
      <c r="E11" s="64" t="s">
        <v>166</v>
      </c>
      <c r="F11" s="65"/>
      <c r="G11" s="66" t="s">
        <v>108</v>
      </c>
      <c r="H11" s="67"/>
      <c r="I11" s="67"/>
      <c r="J11" s="67"/>
      <c r="K11" s="80"/>
    </row>
    <row r="12" spans="1:13" x14ac:dyDescent="0.25">
      <c r="A12" s="110"/>
      <c r="B12" s="111">
        <v>2</v>
      </c>
      <c r="C12" s="111" t="s">
        <v>101</v>
      </c>
      <c r="D12" s="188" t="s">
        <v>190</v>
      </c>
      <c r="E12" s="112" t="s">
        <v>166</v>
      </c>
      <c r="F12" s="113"/>
      <c r="G12" s="114" t="s">
        <v>102</v>
      </c>
      <c r="H12" s="115"/>
      <c r="I12" s="115"/>
      <c r="J12" s="115"/>
      <c r="K12" s="116"/>
      <c r="L12" s="36"/>
      <c r="M12" s="36"/>
    </row>
    <row r="13" spans="1:13" s="198" customFormat="1" ht="15.75" thickBot="1" x14ac:dyDescent="0.3">
      <c r="A13" s="125"/>
      <c r="B13" s="126">
        <v>1</v>
      </c>
      <c r="C13" s="126" t="s">
        <v>118</v>
      </c>
      <c r="D13" s="196" t="s">
        <v>209</v>
      </c>
      <c r="E13" s="127" t="s">
        <v>166</v>
      </c>
      <c r="F13" s="128"/>
      <c r="G13" s="129" t="s">
        <v>207</v>
      </c>
      <c r="H13" s="130"/>
      <c r="I13" s="130"/>
      <c r="J13" s="130"/>
      <c r="K13" s="131"/>
      <c r="L13" s="197"/>
      <c r="M13" s="197"/>
    </row>
    <row r="14" spans="1:13" ht="15.75" thickTop="1" x14ac:dyDescent="0.25">
      <c r="A14" s="164" t="s">
        <v>225</v>
      </c>
      <c r="B14" s="189">
        <v>1</v>
      </c>
      <c r="C14" s="189" t="s">
        <v>110</v>
      </c>
      <c r="D14" s="190" t="s">
        <v>193</v>
      </c>
      <c r="E14" s="191" t="s">
        <v>166</v>
      </c>
      <c r="F14" s="192"/>
      <c r="G14" s="193" t="s">
        <v>126</v>
      </c>
      <c r="H14" s="194"/>
      <c r="I14" s="194"/>
      <c r="J14" s="194"/>
      <c r="K14" s="195"/>
      <c r="L14" s="36"/>
      <c r="M14" s="36"/>
    </row>
    <row r="15" spans="1:13" ht="45" x14ac:dyDescent="0.25">
      <c r="A15" s="156"/>
      <c r="B15" s="157">
        <v>12</v>
      </c>
      <c r="C15" s="157" t="s">
        <v>133</v>
      </c>
      <c r="D15" s="158" t="s">
        <v>192</v>
      </c>
      <c r="E15" s="159" t="s">
        <v>166</v>
      </c>
      <c r="F15" s="160"/>
      <c r="G15" s="161" t="s">
        <v>134</v>
      </c>
      <c r="H15" s="162"/>
      <c r="I15" s="162"/>
      <c r="J15" s="162"/>
      <c r="K15" s="163"/>
      <c r="L15" s="36"/>
      <c r="M15" s="36"/>
    </row>
    <row r="16" spans="1:13" s="210" customFormat="1" x14ac:dyDescent="0.25">
      <c r="A16" s="156"/>
      <c r="B16" s="157">
        <v>1</v>
      </c>
      <c r="C16" s="157" t="s">
        <v>121</v>
      </c>
      <c r="D16" s="158" t="s">
        <v>195</v>
      </c>
      <c r="E16" s="159" t="s">
        <v>166</v>
      </c>
      <c r="F16" s="160"/>
      <c r="G16" s="161" t="s">
        <v>130</v>
      </c>
      <c r="H16" s="162"/>
      <c r="I16" s="162"/>
      <c r="J16" s="162"/>
      <c r="K16" s="163"/>
      <c r="L16" s="209"/>
      <c r="M16" s="209"/>
    </row>
    <row r="17" spans="1:13" s="208" customFormat="1" ht="15.75" thickBot="1" x14ac:dyDescent="0.3">
      <c r="A17" s="199"/>
      <c r="B17" s="200">
        <v>2</v>
      </c>
      <c r="C17" s="200" t="s">
        <v>224</v>
      </c>
      <c r="D17" s="201" t="s">
        <v>222</v>
      </c>
      <c r="E17" s="202" t="s">
        <v>166</v>
      </c>
      <c r="F17" s="203"/>
      <c r="G17" s="204" t="s">
        <v>223</v>
      </c>
      <c r="H17" s="205"/>
      <c r="I17" s="205"/>
      <c r="J17" s="205"/>
      <c r="K17" s="206"/>
      <c r="L17" s="207"/>
      <c r="M17" s="207"/>
    </row>
    <row r="18" spans="1:13" ht="15.75" thickTop="1" x14ac:dyDescent="0.25">
      <c r="A18" s="117" t="s">
        <v>185</v>
      </c>
      <c r="B18" s="118">
        <v>1</v>
      </c>
      <c r="C18" s="118" t="s">
        <v>158</v>
      </c>
      <c r="D18" s="119" t="s">
        <v>160</v>
      </c>
      <c r="E18" s="120" t="s">
        <v>167</v>
      </c>
      <c r="F18" s="121"/>
      <c r="G18" s="122" t="s">
        <v>159</v>
      </c>
      <c r="H18" s="144" t="s">
        <v>183</v>
      </c>
      <c r="I18" s="123"/>
      <c r="J18" s="123"/>
      <c r="K18" s="124"/>
      <c r="L18" s="36"/>
      <c r="M18" s="36"/>
    </row>
    <row r="19" spans="1:13" x14ac:dyDescent="0.25">
      <c r="A19" s="82"/>
      <c r="B19" s="69">
        <v>1</v>
      </c>
      <c r="C19" s="69" t="s">
        <v>204</v>
      </c>
      <c r="D19" s="71" t="s">
        <v>161</v>
      </c>
      <c r="E19" s="72" t="s">
        <v>168</v>
      </c>
      <c r="F19" s="73"/>
      <c r="G19" s="70" t="s">
        <v>205</v>
      </c>
      <c r="H19" s="145" t="s">
        <v>184</v>
      </c>
      <c r="I19" s="68"/>
      <c r="J19" s="68"/>
      <c r="K19" s="83"/>
      <c r="L19" s="36"/>
      <c r="M19" s="36"/>
    </row>
    <row r="20" spans="1:13" x14ac:dyDescent="0.25">
      <c r="A20" s="82"/>
      <c r="B20" s="69">
        <v>1</v>
      </c>
      <c r="C20" s="69" t="s">
        <v>210</v>
      </c>
      <c r="D20" s="71" t="s">
        <v>162</v>
      </c>
      <c r="E20" s="72" t="s">
        <v>169</v>
      </c>
      <c r="F20" s="73"/>
      <c r="G20" s="74" t="s">
        <v>211</v>
      </c>
      <c r="H20" s="145" t="s">
        <v>219</v>
      </c>
      <c r="I20" s="68"/>
      <c r="J20" s="68"/>
      <c r="K20" s="83"/>
      <c r="L20" s="36"/>
      <c r="M20" s="36"/>
    </row>
    <row r="21" spans="1:13" x14ac:dyDescent="0.25">
      <c r="A21" s="82"/>
      <c r="B21" s="75">
        <v>2</v>
      </c>
      <c r="C21" s="75" t="s">
        <v>216</v>
      </c>
      <c r="D21" s="76" t="s">
        <v>170</v>
      </c>
      <c r="E21" s="72" t="s">
        <v>218</v>
      </c>
      <c r="F21" s="77"/>
      <c r="G21" s="78" t="s">
        <v>217</v>
      </c>
      <c r="H21" s="145" t="s">
        <v>182</v>
      </c>
      <c r="I21" s="68"/>
      <c r="J21" s="68"/>
      <c r="K21" s="83"/>
      <c r="L21" s="36"/>
      <c r="M21" s="36"/>
    </row>
    <row r="22" spans="1:13" x14ac:dyDescent="0.25">
      <c r="A22" s="82"/>
      <c r="B22" s="75">
        <v>1</v>
      </c>
      <c r="C22" s="69" t="s">
        <v>202</v>
      </c>
      <c r="D22" s="76" t="s">
        <v>163</v>
      </c>
      <c r="E22" s="72" t="s">
        <v>171</v>
      </c>
      <c r="F22" s="73"/>
      <c r="G22" s="74" t="s">
        <v>201</v>
      </c>
      <c r="H22" s="145" t="s">
        <v>181</v>
      </c>
      <c r="I22" s="68"/>
      <c r="J22" s="68"/>
      <c r="K22" s="83"/>
      <c r="L22" s="36"/>
      <c r="M22" s="36"/>
    </row>
    <row r="23" spans="1:13" x14ac:dyDescent="0.25">
      <c r="A23" s="82"/>
      <c r="B23" s="75">
        <v>1</v>
      </c>
      <c r="C23" s="69" t="s">
        <v>214</v>
      </c>
      <c r="D23" s="76" t="s">
        <v>164</v>
      </c>
      <c r="E23" s="72" t="s">
        <v>172</v>
      </c>
      <c r="F23" s="73"/>
      <c r="G23" s="74" t="s">
        <v>215</v>
      </c>
      <c r="H23" s="145" t="s">
        <v>180</v>
      </c>
      <c r="I23" s="68"/>
      <c r="J23" s="68"/>
      <c r="K23" s="83"/>
      <c r="L23" s="36"/>
      <c r="M23" s="36"/>
    </row>
    <row r="24" spans="1:13" x14ac:dyDescent="0.25">
      <c r="A24" s="82"/>
      <c r="B24" s="75">
        <v>2</v>
      </c>
      <c r="C24" s="142">
        <v>560112110017</v>
      </c>
      <c r="D24" s="76" t="s">
        <v>173</v>
      </c>
      <c r="E24" s="72">
        <v>47</v>
      </c>
      <c r="F24" s="77"/>
      <c r="G24" s="78" t="s">
        <v>203</v>
      </c>
      <c r="H24" s="145" t="s">
        <v>180</v>
      </c>
      <c r="I24" s="68"/>
      <c r="J24" s="68"/>
      <c r="K24" s="83"/>
      <c r="L24" s="36"/>
      <c r="M24" s="36"/>
    </row>
    <row r="25" spans="1:13" x14ac:dyDescent="0.25">
      <c r="A25" s="82"/>
      <c r="B25" s="75">
        <v>2</v>
      </c>
      <c r="C25" s="75" t="s">
        <v>212</v>
      </c>
      <c r="D25" s="76" t="s">
        <v>174</v>
      </c>
      <c r="E25" s="72" t="s">
        <v>175</v>
      </c>
      <c r="F25" s="77"/>
      <c r="G25" s="78" t="s">
        <v>213</v>
      </c>
      <c r="H25" s="145" t="s">
        <v>182</v>
      </c>
      <c r="I25" s="68"/>
      <c r="J25" s="68"/>
      <c r="K25" s="83"/>
      <c r="L25" s="36"/>
      <c r="M25" s="36"/>
    </row>
    <row r="26" spans="1:13" x14ac:dyDescent="0.25">
      <c r="A26" s="211"/>
      <c r="B26" s="212">
        <v>2</v>
      </c>
      <c r="C26" s="212" t="s">
        <v>197</v>
      </c>
      <c r="D26" s="213" t="s">
        <v>176</v>
      </c>
      <c r="E26" s="214" t="s">
        <v>177</v>
      </c>
      <c r="F26" s="215"/>
      <c r="G26" s="216" t="s">
        <v>198</v>
      </c>
      <c r="H26" s="217" t="s">
        <v>182</v>
      </c>
      <c r="I26" s="218"/>
      <c r="J26" s="218"/>
      <c r="K26" s="219"/>
      <c r="L26" s="36"/>
      <c r="M26" s="36"/>
    </row>
    <row r="27" spans="1:13" s="109" customFormat="1" ht="15.75" thickBot="1" x14ac:dyDescent="0.3">
      <c r="A27" s="228"/>
      <c r="B27" s="229">
        <v>1</v>
      </c>
      <c r="C27" s="229" t="s">
        <v>199</v>
      </c>
      <c r="D27" s="230" t="s">
        <v>178</v>
      </c>
      <c r="E27" s="231" t="s">
        <v>179</v>
      </c>
      <c r="F27" s="232"/>
      <c r="G27" s="233" t="s">
        <v>200</v>
      </c>
      <c r="H27" s="234" t="s">
        <v>180</v>
      </c>
      <c r="I27" s="235"/>
      <c r="J27" s="235"/>
      <c r="K27" s="236"/>
      <c r="L27" s="108"/>
      <c r="M27" s="108"/>
    </row>
    <row r="28" spans="1:13" ht="15.75" thickTop="1" x14ac:dyDescent="0.25">
      <c r="A28" s="220" t="s">
        <v>226</v>
      </c>
      <c r="B28" s="221">
        <v>1</v>
      </c>
      <c r="C28" s="221" t="s">
        <v>113</v>
      </c>
      <c r="D28" s="222" t="s">
        <v>194</v>
      </c>
      <c r="E28" s="223" t="s">
        <v>166</v>
      </c>
      <c r="F28" s="224"/>
      <c r="G28" s="225" t="s">
        <v>123</v>
      </c>
      <c r="H28" s="226"/>
      <c r="I28" s="226"/>
      <c r="J28" s="226"/>
      <c r="K28" s="227"/>
      <c r="L28" s="36"/>
      <c r="M28" s="36"/>
    </row>
    <row r="29" spans="1:13" x14ac:dyDescent="0.25">
      <c r="A29" s="178"/>
      <c r="B29" s="166"/>
      <c r="C29" s="167"/>
      <c r="D29" s="168"/>
      <c r="E29" s="165"/>
      <c r="F29" s="169"/>
      <c r="G29" s="170"/>
      <c r="H29" s="165"/>
      <c r="I29" s="165"/>
      <c r="J29" s="165"/>
      <c r="K29" s="179"/>
      <c r="L29" s="36"/>
      <c r="M29" s="36"/>
    </row>
    <row r="30" spans="1:13" x14ac:dyDescent="0.25">
      <c r="A30" s="178"/>
      <c r="B30" s="165"/>
      <c r="C30" s="165"/>
      <c r="D30" s="165"/>
      <c r="E30" s="165"/>
      <c r="F30" s="165"/>
      <c r="G30" s="165"/>
      <c r="H30" s="165"/>
      <c r="I30" s="165"/>
      <c r="J30" s="165"/>
      <c r="K30" s="179"/>
      <c r="L30" s="36"/>
      <c r="M30" s="36"/>
    </row>
    <row r="31" spans="1:13" x14ac:dyDescent="0.25">
      <c r="A31" s="178"/>
      <c r="B31" s="165"/>
      <c r="C31" s="165"/>
      <c r="D31" s="165"/>
      <c r="E31" s="165"/>
      <c r="F31" s="165"/>
      <c r="G31" s="165"/>
      <c r="H31" s="165"/>
      <c r="I31" s="165"/>
      <c r="J31" s="165"/>
      <c r="K31" s="179"/>
      <c r="L31" s="36"/>
      <c r="M31" s="36"/>
    </row>
    <row r="32" spans="1:13" s="60" customFormat="1" ht="15.75" thickBot="1" x14ac:dyDescent="0.3">
      <c r="A32" s="180"/>
      <c r="B32" s="181">
        <v>1</v>
      </c>
      <c r="C32" s="181" t="s">
        <v>119</v>
      </c>
      <c r="D32" s="182"/>
      <c r="E32" s="183" t="s">
        <v>166</v>
      </c>
      <c r="F32" s="184"/>
      <c r="G32" s="185" t="s">
        <v>208</v>
      </c>
      <c r="H32" s="186"/>
      <c r="I32" s="186"/>
      <c r="J32" s="186"/>
      <c r="K32" s="187"/>
      <c r="L32" s="61"/>
      <c r="M32" s="61"/>
    </row>
  </sheetData>
  <mergeCells count="2">
    <mergeCell ref="C3:K4"/>
    <mergeCell ref="C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tabSelected="1" zoomScale="85" zoomScaleNormal="85" workbookViewId="0">
      <selection activeCell="E25" sqref="E25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7" t="s">
        <v>80</v>
      </c>
      <c r="F2" s="155" t="s">
        <v>13</v>
      </c>
      <c r="G2" s="155"/>
      <c r="H2" s="155"/>
      <c r="I2" s="155"/>
      <c r="J2" s="155"/>
      <c r="K2" s="155"/>
      <c r="L2" s="59" t="s">
        <v>149</v>
      </c>
    </row>
    <row r="3" spans="2:12" ht="18.75" x14ac:dyDescent="0.3">
      <c r="B3" s="18" t="s">
        <v>0</v>
      </c>
      <c r="D3" s="52">
        <v>1</v>
      </c>
      <c r="E3" s="53" t="s">
        <v>16</v>
      </c>
      <c r="F3" s="48" t="s">
        <v>17</v>
      </c>
      <c r="G3" s="49" t="s">
        <v>18</v>
      </c>
      <c r="H3" s="50" t="s">
        <v>19</v>
      </c>
      <c r="I3" s="50" t="s">
        <v>20</v>
      </c>
      <c r="J3" s="50"/>
      <c r="K3" s="51"/>
      <c r="L3" s="54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3"/>
      <c r="L4" s="55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3"/>
      <c r="L5" s="55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3"/>
      <c r="L6" s="55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3"/>
      <c r="L7" s="55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3"/>
      <c r="L8" s="55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3"/>
      <c r="L9" s="55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4" t="s">
        <v>44</v>
      </c>
      <c r="L10" s="55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3" t="s">
        <v>50</v>
      </c>
      <c r="L11" s="55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3"/>
      <c r="L12" s="55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3"/>
      <c r="L13" s="55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5" t="s">
        <v>40</v>
      </c>
      <c r="L14" s="55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3"/>
      <c r="L15" s="55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3"/>
      <c r="L16" s="55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3"/>
      <c r="L17" s="55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3"/>
      <c r="L18" s="55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3"/>
      <c r="L19" s="58" t="s">
        <v>150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3"/>
      <c r="L20" s="58" t="s">
        <v>151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3"/>
      <c r="L21" s="58" t="s">
        <v>152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6"/>
      <c r="L22" s="56"/>
    </row>
    <row r="25" spans="4:12" x14ac:dyDescent="0.25">
      <c r="E25" s="57" t="s">
        <v>153</v>
      </c>
    </row>
    <row r="27" spans="4:12" x14ac:dyDescent="0.25">
      <c r="E27" s="57" t="s">
        <v>154</v>
      </c>
    </row>
    <row r="29" spans="4:12" x14ac:dyDescent="0.25">
      <c r="E29" t="s">
        <v>155</v>
      </c>
    </row>
    <row r="31" spans="4:12" x14ac:dyDescent="0.25">
      <c r="E31" t="s">
        <v>156</v>
      </c>
    </row>
    <row r="65" spans="3:3" x14ac:dyDescent="0.25">
      <c r="C65" t="s">
        <v>157</v>
      </c>
    </row>
  </sheetData>
  <mergeCells count="1">
    <mergeCell ref="F2:K2"/>
  </mergeCells>
  <hyperlinks>
    <hyperlink ref="E27" r:id="rId1" xr:uid="{E0F6383B-4BDA-4ACA-9049-DCAA748F9F7E}"/>
    <hyperlink ref="E25" r:id="rId2" xr:uid="{EB1DDABE-E978-4224-A476-73147F7CBB33}"/>
  </hyperlinks>
  <pageMargins left="0.7" right="0.7" top="0.75" bottom="0.75" header="0.3" footer="0.3"/>
  <pageSetup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D35" sqref="D35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6"/>
  <sheetViews>
    <sheetView workbookViewId="0">
      <selection activeCell="E13" sqref="E13"/>
    </sheetView>
  </sheetViews>
  <sheetFormatPr defaultRowHeight="15" x14ac:dyDescent="0.25"/>
  <cols>
    <col min="2" max="2" width="21.7109375" bestFit="1" customWidth="1"/>
    <col min="4" max="5" width="28" bestFit="1" customWidth="1"/>
  </cols>
  <sheetData>
    <row r="3" spans="2:7" x14ac:dyDescent="0.25">
      <c r="B3" s="34">
        <v>12</v>
      </c>
      <c r="C3" s="34" t="s">
        <v>111</v>
      </c>
      <c r="D3" s="33"/>
      <c r="E3" s="33"/>
      <c r="F3" s="35" t="s">
        <v>112</v>
      </c>
    </row>
    <row r="4" spans="2:7" x14ac:dyDescent="0.25">
      <c r="B4" s="34">
        <v>1</v>
      </c>
      <c r="C4" s="34">
        <v>500</v>
      </c>
      <c r="D4" s="33"/>
      <c r="E4" s="33"/>
      <c r="F4" s="35" t="s">
        <v>125</v>
      </c>
    </row>
    <row r="5" spans="2:7" x14ac:dyDescent="0.25">
      <c r="C5" s="37" t="s">
        <v>132</v>
      </c>
    </row>
    <row r="7" spans="2:7" x14ac:dyDescent="0.25">
      <c r="B7" s="36" t="s">
        <v>109</v>
      </c>
      <c r="C7" s="38">
        <v>3825</v>
      </c>
    </row>
    <row r="8" spans="2:7" x14ac:dyDescent="0.25">
      <c r="C8" s="34">
        <v>10</v>
      </c>
      <c r="D8" s="34" t="s">
        <v>115</v>
      </c>
      <c r="E8" s="33"/>
      <c r="F8" s="33"/>
      <c r="G8" s="35" t="s">
        <v>124</v>
      </c>
    </row>
    <row r="9" spans="2:7" x14ac:dyDescent="0.25">
      <c r="D9" t="s">
        <v>220</v>
      </c>
    </row>
    <row r="19" spans="4:8" ht="23.25" x14ac:dyDescent="0.35">
      <c r="D19" s="42" t="s">
        <v>146</v>
      </c>
    </row>
    <row r="20" spans="4:8" x14ac:dyDescent="0.25">
      <c r="D20" s="34">
        <v>1</v>
      </c>
      <c r="E20" s="34" t="s">
        <v>120</v>
      </c>
      <c r="F20" s="33"/>
      <c r="G20" s="33"/>
      <c r="H20" s="35" t="s">
        <v>129</v>
      </c>
    </row>
    <row r="21" spans="4:8" x14ac:dyDescent="0.25">
      <c r="D21" s="34">
        <v>1</v>
      </c>
      <c r="E21" s="34">
        <v>78201465351</v>
      </c>
      <c r="F21" s="33"/>
      <c r="G21" s="33"/>
      <c r="H21" s="35" t="s">
        <v>128</v>
      </c>
    </row>
    <row r="22" spans="4:8" x14ac:dyDescent="0.25">
      <c r="D22" s="34">
        <v>2</v>
      </c>
      <c r="E22" s="34" t="s">
        <v>114</v>
      </c>
      <c r="F22" s="33"/>
      <c r="G22" s="33"/>
      <c r="H22" s="35" t="s">
        <v>122</v>
      </c>
    </row>
    <row r="23" spans="4:8" x14ac:dyDescent="0.25">
      <c r="D23" t="s">
        <v>148</v>
      </c>
      <c r="E23" t="s">
        <v>147</v>
      </c>
    </row>
    <row r="25" spans="4:8" x14ac:dyDescent="0.25">
      <c r="D25" s="34">
        <v>12</v>
      </c>
      <c r="E25" s="34" t="s">
        <v>116</v>
      </c>
      <c r="F25" s="33"/>
      <c r="G25" s="33"/>
      <c r="H25" s="35" t="s">
        <v>127</v>
      </c>
    </row>
    <row r="26" spans="4:8" x14ac:dyDescent="0.25">
      <c r="D26" s="34">
        <v>12</v>
      </c>
      <c r="E26" s="34" t="s">
        <v>117</v>
      </c>
      <c r="F26" s="33"/>
      <c r="G26" s="33"/>
      <c r="H26" s="35" t="s">
        <v>131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2025-12-27T08:04:42Z</dcterms:modified>
</cp:coreProperties>
</file>