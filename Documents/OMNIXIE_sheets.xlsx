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1nic\OneDrive\Desktop\NIXIE\OMNIXIE\documents\"/>
    </mc:Choice>
  </mc:AlternateContent>
  <xr:revisionPtr revIDLastSave="0" documentId="13_ncr:1_{F9E1B675-60BB-46F2-B3B3-C2EC7950E15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OTOTYPE BOM v1" sheetId="6" r:id="rId1"/>
    <sheet name="PRODUCTION BOM" sheetId="4" r:id="rId2"/>
    <sheet name="CH32V003F4U6 PIN FUNCTIONS" sheetId="1" r:id="rId3"/>
    <sheet name="COST ESTIMATES" sheetId="3" r:id="rId4"/>
    <sheet name="ARCHIV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<sst xmlns="http://schemas.openxmlformats.org/spreadsheetml/2006/main" count="422" uniqueCount="240">
  <si>
    <t>A: ADC, A7 (ADC_IN7)</t>
  </si>
  <si>
    <t>T: TIME, T2CH4 (TIM2_CH4)</t>
  </si>
  <si>
    <t>U: USART, URX (USART_RX)</t>
  </si>
  <si>
    <t>OP: OPA, OPO (OPA_OUT), OPP1 (OPA_P1)</t>
  </si>
  <si>
    <t>OSCI (OSCIN)</t>
  </si>
  <si>
    <t>OSCO (OSCOUT)</t>
  </si>
  <si>
    <t>SDA (I2C_SDA)</t>
  </si>
  <si>
    <t>SCL (I2C_SCL)</t>
  </si>
  <si>
    <t>SCK (SPI_SCK)</t>
  </si>
  <si>
    <t>NSS (SPI_NSS)</t>
  </si>
  <si>
    <t>MOSI (SPI_MOSI)</t>
  </si>
  <si>
    <t>MISO (SPI_MISO)</t>
  </si>
  <si>
    <t>PIN</t>
  </si>
  <si>
    <t>FUNCTIONS</t>
  </si>
  <si>
    <t>VSS</t>
  </si>
  <si>
    <t>VDD</t>
  </si>
  <si>
    <t>PD7</t>
  </si>
  <si>
    <t>NRST</t>
  </si>
  <si>
    <t>T2CH4</t>
  </si>
  <si>
    <t>OPP1</t>
  </si>
  <si>
    <t>UCK</t>
  </si>
  <si>
    <t>PA1</t>
  </si>
  <si>
    <t>OSCI</t>
  </si>
  <si>
    <t>A1</t>
  </si>
  <si>
    <t>T1CH2</t>
  </si>
  <si>
    <t>OPN0</t>
  </si>
  <si>
    <t>PA2</t>
  </si>
  <si>
    <t>OSCO</t>
  </si>
  <si>
    <t>A0</t>
  </si>
  <si>
    <t>T1CH2N</t>
  </si>
  <si>
    <t>OPP0</t>
  </si>
  <si>
    <t>AETR2</t>
  </si>
  <si>
    <t>PD0</t>
  </si>
  <si>
    <t>T1CH1N</t>
  </si>
  <si>
    <t>OPN1</t>
  </si>
  <si>
    <t>SDA</t>
  </si>
  <si>
    <t>UTX</t>
  </si>
  <si>
    <t>PC0</t>
  </si>
  <si>
    <t>T2CH3</t>
  </si>
  <si>
    <t>NSS</t>
  </si>
  <si>
    <t>T1CH3</t>
  </si>
  <si>
    <t>PC1</t>
  </si>
  <si>
    <t>T2CH1ETR</t>
  </si>
  <si>
    <t>T1BKIN</t>
  </si>
  <si>
    <t>URX</t>
  </si>
  <si>
    <t>PC2</t>
  </si>
  <si>
    <t>SCL</t>
  </si>
  <si>
    <t>URTS</t>
  </si>
  <si>
    <t>AETR</t>
  </si>
  <si>
    <t>T2CH2</t>
  </si>
  <si>
    <t>T1ETR</t>
  </si>
  <si>
    <t>PC3</t>
  </si>
  <si>
    <t>T1CHIN</t>
  </si>
  <si>
    <t>UCTS</t>
  </si>
  <si>
    <t>PC4</t>
  </si>
  <si>
    <t>A2</t>
  </si>
  <si>
    <t>T1CH4</t>
  </si>
  <si>
    <t>MCO</t>
  </si>
  <si>
    <t>T1CH1CH2N</t>
  </si>
  <si>
    <t>PC5</t>
  </si>
  <si>
    <t>SCK</t>
  </si>
  <si>
    <t>PC6</t>
  </si>
  <si>
    <t>MOSI</t>
  </si>
  <si>
    <t>T1CH1CH3</t>
  </si>
  <si>
    <t>PC7</t>
  </si>
  <si>
    <t>MISO</t>
  </si>
  <si>
    <t>PD1</t>
  </si>
  <si>
    <t>SWIO</t>
  </si>
  <si>
    <t>PD2</t>
  </si>
  <si>
    <t>A3</t>
  </si>
  <si>
    <t>T1CH1</t>
  </si>
  <si>
    <t>PD3</t>
  </si>
  <si>
    <t>A4</t>
  </si>
  <si>
    <t>PD4</t>
  </si>
  <si>
    <t>A7</t>
  </si>
  <si>
    <t>OPO</t>
  </si>
  <si>
    <t>T1CH4ETR</t>
  </si>
  <si>
    <t>PD5</t>
  </si>
  <si>
    <t>A5</t>
  </si>
  <si>
    <t>PD6</t>
  </si>
  <si>
    <t>PORT</t>
  </si>
  <si>
    <t>KEY</t>
  </si>
  <si>
    <t>AETR(ADC_ETR): ADC EXTRA</t>
  </si>
  <si>
    <t>PCBWay</t>
  </si>
  <si>
    <t>Stencil</t>
  </si>
  <si>
    <t>Shipping</t>
  </si>
  <si>
    <t>Total Cost</t>
  </si>
  <si>
    <t>JLCPCB</t>
  </si>
  <si>
    <t>OSHPARK</t>
  </si>
  <si>
    <t>OSHSTENCIL</t>
  </si>
  <si>
    <t>Qty 5 (1.25in x 0.75in)</t>
  </si>
  <si>
    <t>N/A</t>
  </si>
  <si>
    <t>ICs/Modules</t>
  </si>
  <si>
    <t>MPN</t>
  </si>
  <si>
    <t>Qty</t>
  </si>
  <si>
    <t>Description</t>
  </si>
  <si>
    <t>PI4IOE5V6416ZDEX</t>
  </si>
  <si>
    <t>CH32V003F4U6</t>
  </si>
  <si>
    <t>XC6206P332MR</t>
  </si>
  <si>
    <t>Categories</t>
  </si>
  <si>
    <t>Connections</t>
  </si>
  <si>
    <t>SM04B-SRSS-TB</t>
  </si>
  <si>
    <t>Connector Header Surface Mount, Right Angle 4 position 0.039" (1.00mm)</t>
  </si>
  <si>
    <t>USB Connectors USB Type C,2.0, Rec,SMT, 0.95mmTH Shell Stakes,G/F,RA,Top Mnt,T&amp;R</t>
  </si>
  <si>
    <t>IC REG LINEAR 3.3V 200MA SOT23</t>
  </si>
  <si>
    <t>QingKe V2 Microprocessor</t>
  </si>
  <si>
    <t>I/O Expander 16 I2C 400 kHz 24-TQFN (4x4)</t>
  </si>
  <si>
    <t>Ref Des</t>
  </si>
  <si>
    <t xml:space="preserve">Test Plugs &amp; Test Jacks TEST POINT RED .063 </t>
  </si>
  <si>
    <t>Buy bulk from Adafruit</t>
  </si>
  <si>
    <t xml:space="preserve">IPN50R1K4CEATMA1 </t>
  </si>
  <si>
    <t xml:space="preserve">BSS131H6327XTSA1 </t>
  </si>
  <si>
    <t xml:space="preserve">MOSFETs N-Ch 240V 100mA SOT-23-3 </t>
  </si>
  <si>
    <t xml:space="preserve">ATB322515-0110 </t>
  </si>
  <si>
    <t xml:space="preserve">RK0971114D0B </t>
  </si>
  <si>
    <t>GAN190-650FBEZ</t>
  </si>
  <si>
    <t>770004-4</t>
  </si>
  <si>
    <t>02-09-1104</t>
  </si>
  <si>
    <t>IL-WX-16S-VF-B-E1000E</t>
  </si>
  <si>
    <t>IL-WX-16PB-VF-B-E1000E</t>
  </si>
  <si>
    <t>ATB3225-75011CT-T001</t>
  </si>
  <si>
    <t>SK3200AFL-TP</t>
  </si>
  <si>
    <t>Potentiometers Flat 15mm 10k</t>
  </si>
  <si>
    <t>Audio Transformers / Signal Transformers Photoflash Capacitor Charging Transforme</t>
  </si>
  <si>
    <t>GaN FETs SOT8075 650V 11.5A FET</t>
  </si>
  <si>
    <t>Coin Cell Battery Holders COIN CELL HOLDER 12MM</t>
  </si>
  <si>
    <t>MOSFETs CONSUMER</t>
  </si>
  <si>
    <t>Pin &amp; Socket Connectors SOCKET CONTACT</t>
  </si>
  <si>
    <t>Ferrite Cores &amp; Accessories WE-OEFA LFS Oval Ferrite Core Oval; 25Ohms; 72Ohms Black AEC-Q200</t>
  </si>
  <si>
    <t>Audio Transformers / Signal Transformers 1:1 75ohms 5-200MHz 10dB</t>
  </si>
  <si>
    <t>Schottky Diodes &amp; Rectifiers 3A 200Vr 140Vrms 200V 80A 0.86Vf</t>
  </si>
  <si>
    <t>Pin &amp; Socket Connectors CRIMP SKT BULK 14-20</t>
  </si>
  <si>
    <t>SN75468DR</t>
  </si>
  <si>
    <t>BSS123</t>
  </si>
  <si>
    <t>MOSFET, N-CH, SINGLE, 0.19A, 100</t>
  </si>
  <si>
    <t>Footprint/Package</t>
  </si>
  <si>
    <t>Manufacturer</t>
  </si>
  <si>
    <t>Distributor</t>
  </si>
  <si>
    <t>Link</t>
  </si>
  <si>
    <t>OMNIXIE</t>
  </si>
  <si>
    <t>DATE</t>
  </si>
  <si>
    <t>Designer: NA Design</t>
  </si>
  <si>
    <t>BOM</t>
  </si>
  <si>
    <t>SCH</t>
  </si>
  <si>
    <t>PCB</t>
  </si>
  <si>
    <t>DNP</t>
  </si>
  <si>
    <t>Other Stuff To Buy</t>
  </si>
  <si>
    <t>Qwiic short cables</t>
  </si>
  <si>
    <t>bulk</t>
  </si>
  <si>
    <t>USB</t>
  </si>
  <si>
    <t>D+</t>
  </si>
  <si>
    <t>D-</t>
  </si>
  <si>
    <t>DPU</t>
  </si>
  <si>
    <t>https://github.com/cnlohr/rv003usb</t>
  </si>
  <si>
    <t>https://github.com/cnlohr/ch32fun</t>
  </si>
  <si>
    <t>https://github.com/cnlohr/cnixxi</t>
  </si>
  <si>
    <t>https://threeneurons.wordpress.com/nixie-power-supply/</t>
  </si>
  <si>
    <t>USB just requires that D+ D- and DPU are on the same port</t>
  </si>
  <si>
    <t xml:space="preserve">GRM21BR71A106MA73K </t>
  </si>
  <si>
    <t xml:space="preserve">Multilayer Ceramic Capacitors MLCC - SMD/SMT 10 uF 10 VDC 20% 0805 X7R </t>
  </si>
  <si>
    <t>C1</t>
  </si>
  <si>
    <t>C2</t>
  </si>
  <si>
    <t>C3, C4, C5</t>
  </si>
  <si>
    <t>R6</t>
  </si>
  <si>
    <t>R7</t>
  </si>
  <si>
    <t>Value</t>
  </si>
  <si>
    <t>-</t>
  </si>
  <si>
    <t>10uF</t>
  </si>
  <si>
    <t>0.22uF</t>
  </si>
  <si>
    <t>1uF</t>
  </si>
  <si>
    <t>R3,R5</t>
  </si>
  <si>
    <t>15k</t>
  </si>
  <si>
    <t>100k</t>
  </si>
  <si>
    <t>R8,R9</t>
  </si>
  <si>
    <t>R11,R12</t>
  </si>
  <si>
    <t>1k</t>
  </si>
  <si>
    <t>R13,R14</t>
  </si>
  <si>
    <t>5.1k</t>
  </si>
  <si>
    <t>R15</t>
  </si>
  <si>
    <t>1.5k</t>
  </si>
  <si>
    <t>Resistor_SMD:R_0402_1005Metric_Pad0.72x0.64mm_HandSolder</t>
  </si>
  <si>
    <t>Resistor_SMD:R_2010_5025Metric</t>
  </si>
  <si>
    <t>Resistor_SMD:R_0603_1608Metric</t>
  </si>
  <si>
    <t>Capacitor_SMD:C_0805_2012Metric</t>
  </si>
  <si>
    <t>Capacitor_SMD:C_1210_3225Metric</t>
  </si>
  <si>
    <t>Capacitors/Resistors</t>
  </si>
  <si>
    <t>U1</t>
  </si>
  <si>
    <t>U3</t>
  </si>
  <si>
    <t>U4</t>
  </si>
  <si>
    <t>J4</t>
  </si>
  <si>
    <t>J2, J3</t>
  </si>
  <si>
    <t>TP6,TP8,TP10,TP11,TP12,TP13,TP14</t>
  </si>
  <si>
    <t>Q0,Q1,Q2,Q3,Q4,Q5,Q6,Q7,Q8,Q9,Q10,Q11</t>
  </si>
  <si>
    <t>Q12</t>
  </si>
  <si>
    <t>T1</t>
  </si>
  <si>
    <t>D1</t>
  </si>
  <si>
    <t>J6,J7</t>
  </si>
  <si>
    <t xml:space="preserve">CR0603-FX-5101ELF </t>
  </si>
  <si>
    <t xml:space="preserve">Thick Film Resistors - SMD 5.1K ohm 1% </t>
  </si>
  <si>
    <t xml:space="preserve">CRCW04021K50JNEDC </t>
  </si>
  <si>
    <t xml:space="preserve">Thick Film Resistors - SMD 1/16watt 1.5Kohms 5% Commercial Use </t>
  </si>
  <si>
    <t xml:space="preserve">Thick Film Resistors - SMD General Purpose Chip Resistor 2010, 15kOhms, 5%, 3/4W </t>
  </si>
  <si>
    <t xml:space="preserve">RC2010JK-0715KL </t>
  </si>
  <si>
    <t xml:space="preserve">Thick Film Resistors - SMD WRIS-RSKS 47 Ohms 5 % 0.1 W 0402 AEC-Q200 </t>
  </si>
  <si>
    <t xml:space="preserve">GRM43DR7LV224KW01L </t>
  </si>
  <si>
    <t xml:space="preserve">Multilayer Ceramic Capacitors MLCC - SMD/SMT 0.22 uF 630 VDC 10% 1812 X7R </t>
  </si>
  <si>
    <t>USB4120-03-C</t>
  </si>
  <si>
    <t>0.8 mm pitch, SMT, parallel/ vertical, Board-to-board Connector, 16 pos., Socket receptacle</t>
  </si>
  <si>
    <t>0.8 mm pitch, SMT, parallel/ vertical, Board-to-board Connector, 16 pos., Pin header</t>
  </si>
  <si>
    <t>J8</t>
  </si>
  <si>
    <t>CL10B105KA8NFNC</t>
  </si>
  <si>
    <t>1 µF ±10% 25V Ceramic Capacitor X7R 0603 (1608 Metric)</t>
  </si>
  <si>
    <t>RK73H1JTTD1001F</t>
  </si>
  <si>
    <t>1 kOhms ±1% 0.125W, 1/8W Chip Resistor 0603 (1608 Metric) Automotive AEC-Q200 Thick Film</t>
  </si>
  <si>
    <t>RC0402FR-07100KL</t>
  </si>
  <si>
    <t>100 kOhms ±1% 0.063W, 1/16W Chip Resistor 0402 (1005 Metric) Moisture Resistant Thick Film</t>
  </si>
  <si>
    <t>PA0603FRE570R01L</t>
  </si>
  <si>
    <t>10 mOhms ±1% 0.5W, 1/2W Chip Resistor 0603 (1608 Metric) Automotive AEC-Q200, Current Sense, Moisture Resistant Metal Element</t>
  </si>
  <si>
    <t>10m</t>
  </si>
  <si>
    <t>Capacitor_SMD:C_0603_1608Metric</t>
  </si>
  <si>
    <t>https://www.digikey.com/en/products/detail/koa-speer-electronics-inc/RCUCTE/11476561</t>
  </si>
  <si>
    <t>2.54mm Pitch Pin Headers</t>
  </si>
  <si>
    <t>D2, D3</t>
  </si>
  <si>
    <t>Green 525nm LED Indication - Discrete 3.2V 0603 (1608 Metric)</t>
  </si>
  <si>
    <t>150060GS73220</t>
  </si>
  <si>
    <t>Semiconductors</t>
  </si>
  <si>
    <t>Other</t>
  </si>
  <si>
    <t>IN12-A sockets purchased</t>
  </si>
  <si>
    <t>https://www.amazon.com/gp/product/B09D2VQR3Q</t>
  </si>
  <si>
    <t>Package_DFN_QFN:QFN-20-1EP_3x3mm_P0.4mm_EP1.65x1.65mm</t>
  </si>
  <si>
    <t>Package_DFN_QFN:TQFN-24-1EP_4x4mm_P0.5mm_EP2.1x2.1mm_ThermalVias</t>
  </si>
  <si>
    <t>Package_TO_SOT_SMD:SOT-23-3</t>
  </si>
  <si>
    <t>TestPoint:TestPoint_Keystone_5005-5009_Compact</t>
  </si>
  <si>
    <t>TO BUY</t>
  </si>
  <si>
    <t>PROCURED</t>
  </si>
  <si>
    <t>_0805</t>
  </si>
  <si>
    <t>Package_TO_SOT_SMD:SOT-223-3_TabPin2</t>
  </si>
  <si>
    <t>OMNIXIE:SK3200AFL</t>
  </si>
  <si>
    <t>LED_SMD:LED_0603_1608Metric</t>
  </si>
  <si>
    <t>J1,J6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</si>
</sst>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2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</cellStyleXfs>
  <cellXfs count="28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1" xfId="0" applyFont="1" applyFill="1" applyBorder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3" borderId="1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0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2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0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10" xfId="0" applyFont="1" applyFill="1" applyBorder="1"/>
    <xf numFmtId="0" fontId="2" fillId="8" borderId="3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" fillId="0" borderId="0" xfId="0" applyFont="1"/>
    <xf numFmtId="44" fontId="1" fillId="0" borderId="0" xfId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2" applyFont="1"/>
    <xf numFmtId="0" fontId="12" fillId="0" borderId="0" xfId="2" applyFont="1"/>
    <xf numFmtId="0" fontId="13" fillId="0" borderId="15" xfId="3" applyFont="1" applyBorder="1" applyAlignment="1" applyProtection="1">
      <alignment horizontal="right"/>
      <protection locked="0"/>
    </xf>
    <xf numFmtId="0" fontId="14" fillId="0" borderId="1" xfId="3" applyFont="1" applyBorder="1" applyAlignment="1" applyProtection="1">
      <alignment horizontal="center"/>
      <protection locked="0"/>
    </xf>
    <xf numFmtId="0" fontId="13" fillId="0" borderId="1" xfId="3" applyFont="1" applyBorder="1" applyAlignment="1" applyProtection="1">
      <alignment horizontal="right"/>
      <protection locked="0"/>
    </xf>
    <xf numFmtId="0" fontId="16" fillId="0" borderId="0" xfId="0" applyFont="1"/>
    <xf numFmtId="0" fontId="2" fillId="0" borderId="19" xfId="0" applyFont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2"/>
    <xf numFmtId="0" fontId="0" fillId="14" borderId="4" xfId="0" applyFill="1" applyBorder="1" applyAlignment="1">
      <alignment horizontal="center"/>
    </xf>
    <xf numFmtId="0" fontId="1" fillId="14" borderId="28" xfId="0" applyFont="1" applyFill="1" applyBorder="1" applyAlignment="1">
      <alignment horizontal="center"/>
    </xf>
    <xf numFmtId="0" fontId="0" fillId="13" borderId="0" xfId="0" applyFill="1"/>
    <xf numFmtId="0" fontId="8" fillId="13" borderId="0" xfId="0" applyFont="1" applyFill="1"/>
    <xf numFmtId="0" fontId="7" fillId="13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top" wrapText="1"/>
    </xf>
    <xf numFmtId="0" fontId="7" fillId="13" borderId="2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/>
    </xf>
    <xf numFmtId="0" fontId="7" fillId="13" borderId="2" xfId="0" applyFont="1" applyFill="1" applyBorder="1"/>
    <xf numFmtId="0" fontId="7" fillId="16" borderId="2" xfId="0" applyFont="1" applyFill="1" applyBorder="1"/>
    <xf numFmtId="0" fontId="7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vertical="center"/>
    </xf>
    <xf numFmtId="0" fontId="7" fillId="16" borderId="2" xfId="0" applyFont="1" applyFill="1" applyBorder="1" applyAlignment="1">
      <alignment horizontal="center" vertical="top" wrapText="1"/>
    </xf>
    <xf numFmtId="0" fontId="0" fillId="16" borderId="2" xfId="0" applyFill="1" applyBorder="1" applyAlignment="1">
      <alignment horizontal="center"/>
    </xf>
    <xf numFmtId="0" fontId="6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left" vertical="center"/>
    </xf>
    <xf numFmtId="0" fontId="0" fillId="16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top" wrapText="1"/>
    </xf>
    <xf numFmtId="0" fontId="17" fillId="16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left" vertical="center"/>
    </xf>
    <xf numFmtId="0" fontId="6" fillId="13" borderId="3" xfId="0" applyFont="1" applyFill="1" applyBorder="1"/>
    <xf numFmtId="0" fontId="8" fillId="13" borderId="4" xfId="0" applyFont="1" applyFill="1" applyBorder="1"/>
    <xf numFmtId="0" fontId="7" fillId="13" borderId="3" xfId="0" applyFont="1" applyFill="1" applyBorder="1"/>
    <xf numFmtId="0" fontId="7" fillId="16" borderId="3" xfId="0" applyFont="1" applyFill="1" applyBorder="1"/>
    <xf numFmtId="0" fontId="8" fillId="16" borderId="4" xfId="0" applyFont="1" applyFill="1" applyBorder="1"/>
    <xf numFmtId="0" fontId="7" fillId="11" borderId="29" xfId="0" applyFont="1" applyFill="1" applyBorder="1"/>
    <xf numFmtId="0" fontId="7" fillId="11" borderId="30" xfId="0" applyFont="1" applyFill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top" wrapText="1"/>
    </xf>
    <xf numFmtId="0" fontId="7" fillId="11" borderId="30" xfId="0" applyFont="1" applyFill="1" applyBorder="1" applyAlignment="1">
      <alignment horizontal="center"/>
    </xf>
    <xf numFmtId="0" fontId="6" fillId="11" borderId="30" xfId="0" applyFont="1" applyFill="1" applyBorder="1" applyAlignment="1">
      <alignment horizontal="center" vertical="center"/>
    </xf>
    <xf numFmtId="0" fontId="7" fillId="11" borderId="30" xfId="0" applyFont="1" applyFill="1" applyBorder="1" applyAlignment="1">
      <alignment horizontal="left" vertical="center"/>
    </xf>
    <xf numFmtId="0" fontId="7" fillId="11" borderId="30" xfId="0" applyFont="1" applyFill="1" applyBorder="1"/>
    <xf numFmtId="0" fontId="8" fillId="11" borderId="31" xfId="0" applyFont="1" applyFill="1" applyBorder="1"/>
    <xf numFmtId="0" fontId="6" fillId="12" borderId="22" xfId="0" applyFont="1" applyFill="1" applyBorder="1"/>
    <xf numFmtId="0" fontId="7" fillId="12" borderId="23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top" wrapText="1"/>
    </xf>
    <xf numFmtId="0" fontId="7" fillId="12" borderId="23" xfId="0" applyFont="1" applyFill="1" applyBorder="1" applyAlignment="1">
      <alignment horizontal="center"/>
    </xf>
    <xf numFmtId="0" fontId="6" fillId="12" borderId="23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left" vertical="center"/>
    </xf>
    <xf numFmtId="0" fontId="7" fillId="12" borderId="23" xfId="0" applyFont="1" applyFill="1" applyBorder="1"/>
    <xf numFmtId="0" fontId="8" fillId="12" borderId="25" xfId="0" applyFont="1" applyFill="1" applyBorder="1"/>
    <xf numFmtId="0" fontId="7" fillId="11" borderId="32" xfId="0" applyFont="1" applyFill="1" applyBorder="1"/>
    <xf numFmtId="0" fontId="7" fillId="11" borderId="33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top" wrapText="1"/>
    </xf>
    <xf numFmtId="0" fontId="7" fillId="11" borderId="33" xfId="0" applyFont="1" applyFill="1" applyBorder="1" applyAlignment="1">
      <alignment horizontal="center"/>
    </xf>
    <xf numFmtId="0" fontId="6" fillId="11" borderId="33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left" vertical="center"/>
    </xf>
    <xf numFmtId="0" fontId="7" fillId="11" borderId="33" xfId="0" applyFont="1" applyFill="1" applyBorder="1"/>
    <xf numFmtId="0" fontId="8" fillId="11" borderId="34" xfId="0" applyFont="1" applyFill="1" applyBorder="1"/>
    <xf numFmtId="0" fontId="8" fillId="0" borderId="35" xfId="0" applyFont="1" applyBorder="1"/>
    <xf numFmtId="0" fontId="0" fillId="0" borderId="35" xfId="0" applyBorder="1"/>
    <xf numFmtId="0" fontId="7" fillId="13" borderId="30" xfId="0" applyFont="1" applyFill="1" applyBorder="1" applyAlignment="1">
      <alignment horizontal="center" vertical="center"/>
    </xf>
    <xf numFmtId="0" fontId="7" fillId="13" borderId="30" xfId="0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 vertical="center"/>
    </xf>
    <xf numFmtId="0" fontId="7" fillId="13" borderId="30" xfId="0" applyFont="1" applyFill="1" applyBorder="1" applyAlignment="1">
      <alignment horizontal="left" vertical="center"/>
    </xf>
    <xf numFmtId="0" fontId="7" fillId="13" borderId="30" xfId="0" applyFont="1" applyFill="1" applyBorder="1"/>
    <xf numFmtId="0" fontId="8" fillId="13" borderId="31" xfId="0" applyFont="1" applyFill="1" applyBorder="1"/>
    <xf numFmtId="0" fontId="6" fillId="15" borderId="22" xfId="0" applyFont="1" applyFill="1" applyBorder="1"/>
    <xf numFmtId="0" fontId="7" fillId="15" borderId="23" xfId="0" applyFont="1" applyFill="1" applyBorder="1" applyAlignment="1">
      <alignment horizontal="center" vertical="center"/>
    </xf>
    <xf numFmtId="0" fontId="7" fillId="15" borderId="23" xfId="0" applyFont="1" applyFill="1" applyBorder="1" applyAlignment="1">
      <alignment horizontal="center" vertical="top" wrapText="1"/>
    </xf>
    <xf numFmtId="0" fontId="0" fillId="15" borderId="23" xfId="0" applyFill="1" applyBorder="1" applyAlignment="1">
      <alignment horizontal="center"/>
    </xf>
    <xf numFmtId="0" fontId="6" fillId="15" borderId="23" xfId="0" applyFont="1" applyFill="1" applyBorder="1" applyAlignment="1">
      <alignment horizontal="center" vertical="center"/>
    </xf>
    <xf numFmtId="0" fontId="7" fillId="15" borderId="23" xfId="0" applyFont="1" applyFill="1" applyBorder="1" applyAlignment="1">
      <alignment horizontal="left" vertical="center"/>
    </xf>
    <xf numFmtId="0" fontId="7" fillId="15" borderId="23" xfId="0" applyFont="1" applyFill="1" applyBorder="1"/>
    <xf numFmtId="0" fontId="8" fillId="15" borderId="25" xfId="0" applyFont="1" applyFill="1" applyBorder="1"/>
    <xf numFmtId="0" fontId="7" fillId="13" borderId="32" xfId="0" applyFont="1" applyFill="1" applyBorder="1"/>
    <xf numFmtId="0" fontId="7" fillId="13" borderId="33" xfId="0" applyFont="1" applyFill="1" applyBorder="1" applyAlignment="1">
      <alignment horizontal="center" vertical="center"/>
    </xf>
    <xf numFmtId="0" fontId="7" fillId="13" borderId="33" xfId="0" applyFont="1" applyFill="1" applyBorder="1" applyAlignment="1">
      <alignment horizontal="center"/>
    </xf>
    <xf numFmtId="0" fontId="6" fillId="13" borderId="33" xfId="0" applyFont="1" applyFill="1" applyBorder="1" applyAlignment="1">
      <alignment horizontal="center" vertical="center"/>
    </xf>
    <xf numFmtId="0" fontId="7" fillId="13" borderId="33" xfId="0" applyFont="1" applyFill="1" applyBorder="1" applyAlignment="1">
      <alignment horizontal="left" vertical="center"/>
    </xf>
    <xf numFmtId="0" fontId="7" fillId="13" borderId="33" xfId="0" applyFont="1" applyFill="1" applyBorder="1"/>
    <xf numFmtId="0" fontId="8" fillId="13" borderId="34" xfId="0" applyFont="1" applyFill="1" applyBorder="1"/>
    <xf numFmtId="0" fontId="13" fillId="0" borderId="36" xfId="3" applyFont="1" applyBorder="1" applyAlignment="1" applyProtection="1">
      <alignment horizontal="right"/>
      <protection locked="0"/>
    </xf>
    <xf numFmtId="14" fontId="14" fillId="0" borderId="17" xfId="3" applyNumberFormat="1" applyFont="1" applyBorder="1" applyAlignment="1" applyProtection="1">
      <alignment horizontal="center"/>
      <protection locked="0"/>
    </xf>
    <xf numFmtId="0" fontId="6" fillId="10" borderId="22" xfId="0" applyFont="1" applyFill="1" applyBorder="1"/>
    <xf numFmtId="0" fontId="7" fillId="10" borderId="23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top" wrapText="1"/>
    </xf>
    <xf numFmtId="0" fontId="7" fillId="10" borderId="23" xfId="0" applyFont="1" applyFill="1" applyBorder="1" applyAlignment="1">
      <alignment horizontal="center"/>
    </xf>
    <xf numFmtId="0" fontId="6" fillId="10" borderId="23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left" vertical="center"/>
    </xf>
    <xf numFmtId="0" fontId="7" fillId="10" borderId="23" xfId="0" applyFont="1" applyFill="1" applyBorder="1"/>
    <xf numFmtId="0" fontId="8" fillId="10" borderId="25" xfId="0" applyFont="1" applyFill="1" applyBorder="1"/>
    <xf numFmtId="1" fontId="0" fillId="16" borderId="2" xfId="0" applyNumberForma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 wrapText="1"/>
    </xf>
    <xf numFmtId="0" fontId="0" fillId="15" borderId="23" xfId="0" applyFill="1" applyBorder="1" applyAlignment="1">
      <alignment horizontal="left"/>
    </xf>
    <xf numFmtId="0" fontId="0" fillId="16" borderId="2" xfId="0" applyFill="1" applyBorder="1" applyAlignment="1">
      <alignment horizontal="left"/>
    </xf>
    <xf numFmtId="0" fontId="7" fillId="8" borderId="3" xfId="0" applyFont="1" applyFill="1" applyBorder="1"/>
    <xf numFmtId="0" fontId="7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wrapText="1"/>
    </xf>
    <xf numFmtId="0" fontId="7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7" fillId="8" borderId="2" xfId="0" applyFont="1" applyFill="1" applyBorder="1"/>
    <xf numFmtId="0" fontId="8" fillId="8" borderId="4" xfId="0" applyFont="1" applyFill="1" applyBorder="1"/>
    <xf numFmtId="0" fontId="6" fillId="3" borderId="22" xfId="0" applyFont="1" applyFill="1" applyBorder="1"/>
    <xf numFmtId="0" fontId="7" fillId="18" borderId="2" xfId="0" applyFont="1" applyFill="1" applyBorder="1"/>
    <xf numFmtId="0" fontId="0" fillId="18" borderId="2" xfId="0" applyFill="1" applyBorder="1"/>
    <xf numFmtId="0" fontId="7" fillId="18" borderId="2" xfId="0" applyFont="1" applyFill="1" applyBorder="1" applyAlignment="1">
      <alignment vertical="top"/>
    </xf>
    <xf numFmtId="0" fontId="6" fillId="18" borderId="2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vertical="center"/>
    </xf>
    <xf numFmtId="0" fontId="11" fillId="9" borderId="37" xfId="0" applyFont="1" applyFill="1" applyBorder="1" applyAlignment="1">
      <alignment horizontal="center"/>
    </xf>
    <xf numFmtId="0" fontId="11" fillId="9" borderId="38" xfId="0" applyFont="1" applyFill="1" applyBorder="1" applyAlignment="1">
      <alignment horizontal="center"/>
    </xf>
    <xf numFmtId="0" fontId="11" fillId="9" borderId="38" xfId="0" applyFont="1" applyFill="1" applyBorder="1"/>
    <xf numFmtId="0" fontId="11" fillId="9" borderId="39" xfId="0" applyFont="1" applyFill="1" applyBorder="1" applyAlignment="1">
      <alignment horizontal="center"/>
    </xf>
    <xf numFmtId="0" fontId="7" fillId="18" borderId="3" xfId="0" applyFont="1" applyFill="1" applyBorder="1"/>
    <xf numFmtId="0" fontId="8" fillId="18" borderId="4" xfId="0" applyFont="1" applyFill="1" applyBorder="1"/>
    <xf numFmtId="0" fontId="7" fillId="13" borderId="6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top" wrapText="1"/>
    </xf>
    <xf numFmtId="0" fontId="7" fillId="13" borderId="6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left" vertical="center"/>
    </xf>
    <xf numFmtId="0" fontId="7" fillId="13" borderId="6" xfId="0" applyFont="1" applyFill="1" applyBorder="1"/>
    <xf numFmtId="0" fontId="8" fillId="13" borderId="7" xfId="0" applyFont="1" applyFill="1" applyBorder="1"/>
    <xf numFmtId="0" fontId="7" fillId="13" borderId="30" xfId="0" applyFont="1" applyFill="1" applyBorder="1" applyAlignment="1">
      <alignment horizontal="center" vertical="top" wrapText="1"/>
    </xf>
    <xf numFmtId="0" fontId="7" fillId="3" borderId="23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left" vertical="center"/>
    </xf>
    <xf numFmtId="0" fontId="7" fillId="3" borderId="23" xfId="0" applyFont="1" applyFill="1" applyBorder="1"/>
    <xf numFmtId="0" fontId="8" fillId="3" borderId="25" xfId="0" applyFont="1" applyFill="1" applyBorder="1"/>
    <xf numFmtId="0" fontId="7" fillId="13" borderId="33" xfId="0" applyFont="1" applyFill="1" applyBorder="1" applyAlignment="1">
      <alignment horizontal="center" vertical="top" wrapText="1"/>
    </xf>
    <xf numFmtId="0" fontId="8" fillId="13" borderId="35" xfId="0" applyFont="1" applyFill="1" applyBorder="1"/>
    <xf numFmtId="0" fontId="0" fillId="13" borderId="35" xfId="0" applyFill="1" applyBorder="1"/>
    <xf numFmtId="0" fontId="7" fillId="8" borderId="40" xfId="0" applyFont="1" applyFill="1" applyBorder="1"/>
    <xf numFmtId="0" fontId="7" fillId="8" borderId="41" xfId="0" applyFont="1" applyFill="1" applyBorder="1" applyAlignment="1">
      <alignment horizontal="center" vertical="center"/>
    </xf>
    <xf numFmtId="0" fontId="0" fillId="8" borderId="41" xfId="0" applyFill="1" applyBorder="1" applyAlignment="1">
      <alignment horizontal="center" wrapText="1"/>
    </xf>
    <xf numFmtId="0" fontId="7" fillId="8" borderId="41" xfId="0" applyFont="1" applyFill="1" applyBorder="1" applyAlignment="1">
      <alignment horizontal="center"/>
    </xf>
    <xf numFmtId="0" fontId="6" fillId="8" borderId="41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0" fontId="7" fillId="8" borderId="41" xfId="0" applyFont="1" applyFill="1" applyBorder="1"/>
    <xf numFmtId="0" fontId="8" fillId="8" borderId="42" xfId="0" applyFont="1" applyFill="1" applyBorder="1"/>
    <xf numFmtId="0" fontId="8" fillId="0" borderId="43" xfId="0" applyFont="1" applyBorder="1"/>
    <xf numFmtId="0" fontId="0" fillId="0" borderId="43" xfId="0" applyBorder="1"/>
    <xf numFmtId="0" fontId="8" fillId="0" borderId="44" xfId="0" applyFont="1" applyBorder="1"/>
    <xf numFmtId="0" fontId="0" fillId="0" borderId="44" xfId="0" applyBorder="1"/>
    <xf numFmtId="0" fontId="7" fillId="16" borderId="29" xfId="0" applyFont="1" applyFill="1" applyBorder="1"/>
    <xf numFmtId="0" fontId="0" fillId="16" borderId="30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top" wrapText="1"/>
    </xf>
    <xf numFmtId="0" fontId="0" fillId="16" borderId="30" xfId="0" applyFill="1" applyBorder="1" applyAlignment="1">
      <alignment horizontal="center"/>
    </xf>
    <xf numFmtId="0" fontId="17" fillId="16" borderId="30" xfId="0" applyFont="1" applyFill="1" applyBorder="1" applyAlignment="1">
      <alignment horizontal="center" vertical="center"/>
    </xf>
    <xf numFmtId="0" fontId="0" fillId="16" borderId="30" xfId="0" applyFill="1" applyBorder="1" applyAlignment="1">
      <alignment vertical="center"/>
    </xf>
    <xf numFmtId="0" fontId="0" fillId="16" borderId="30" xfId="0" applyFill="1" applyBorder="1" applyAlignment="1">
      <alignment horizontal="left"/>
    </xf>
    <xf numFmtId="0" fontId="7" fillId="16" borderId="30" xfId="0" applyFont="1" applyFill="1" applyBorder="1"/>
    <xf numFmtId="0" fontId="8" fillId="16" borderId="31" xfId="0" applyFont="1" applyFill="1" applyBorder="1"/>
    <xf numFmtId="0" fontId="6" fillId="17" borderId="45" xfId="0" applyFont="1" applyFill="1" applyBorder="1"/>
    <xf numFmtId="0" fontId="7" fillId="17" borderId="46" xfId="0" applyFont="1" applyFill="1" applyBorder="1" applyAlignment="1">
      <alignment horizontal="center" vertical="center"/>
    </xf>
    <xf numFmtId="0" fontId="0" fillId="17" borderId="46" xfId="0" applyFill="1" applyBorder="1" applyAlignment="1">
      <alignment horizontal="center" wrapText="1"/>
    </xf>
    <xf numFmtId="0" fontId="7" fillId="17" borderId="46" xfId="0" applyFont="1" applyFill="1" applyBorder="1" applyAlignment="1">
      <alignment horizontal="center"/>
    </xf>
    <xf numFmtId="0" fontId="6" fillId="17" borderId="46" xfId="0" applyFont="1" applyFill="1" applyBorder="1" applyAlignment="1">
      <alignment horizontal="center" vertical="center"/>
    </xf>
    <xf numFmtId="0" fontId="7" fillId="17" borderId="46" xfId="0" applyFont="1" applyFill="1" applyBorder="1" applyAlignment="1">
      <alignment horizontal="left" vertical="center"/>
    </xf>
    <xf numFmtId="0" fontId="7" fillId="17" borderId="46" xfId="0" applyFont="1" applyFill="1" applyBorder="1"/>
    <xf numFmtId="0" fontId="8" fillId="17" borderId="47" xfId="0" applyFont="1" applyFill="1" applyBorder="1"/>
    <xf numFmtId="0" fontId="7" fillId="16" borderId="32" xfId="0" applyFont="1" applyFill="1" applyBorder="1"/>
    <xf numFmtId="0" fontId="0" fillId="16" borderId="33" xfId="0" applyFill="1" applyBorder="1" applyAlignment="1">
      <alignment horizontal="center" vertical="center"/>
    </xf>
    <xf numFmtId="0" fontId="0" fillId="16" borderId="33" xfId="0" applyFill="1" applyBorder="1" applyAlignment="1">
      <alignment horizontal="center" vertical="top" wrapText="1"/>
    </xf>
    <xf numFmtId="0" fontId="0" fillId="16" borderId="33" xfId="0" applyFill="1" applyBorder="1" applyAlignment="1">
      <alignment horizontal="center"/>
    </xf>
    <xf numFmtId="0" fontId="17" fillId="16" borderId="33" xfId="0" applyFont="1" applyFill="1" applyBorder="1" applyAlignment="1">
      <alignment horizontal="center" vertical="center"/>
    </xf>
    <xf numFmtId="0" fontId="0" fillId="16" borderId="33" xfId="0" applyFill="1" applyBorder="1" applyAlignment="1">
      <alignment vertical="center"/>
    </xf>
    <xf numFmtId="0" fontId="0" fillId="16" borderId="33" xfId="0" applyFill="1" applyBorder="1" applyAlignment="1">
      <alignment horizontal="left"/>
    </xf>
    <xf numFmtId="0" fontId="7" fillId="16" borderId="33" xfId="0" applyFont="1" applyFill="1" applyBorder="1"/>
    <xf numFmtId="0" fontId="8" fillId="16" borderId="34" xfId="0" applyFont="1" applyFill="1" applyBorder="1"/>
    <xf numFmtId="0" fontId="0" fillId="19" borderId="0" xfId="0" applyFill="1"/>
    <xf numFmtId="0" fontId="13" fillId="0" borderId="13" xfId="3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 applyProtection="1">
      <alignment horizontal="center" vertical="center"/>
      <protection locked="0"/>
    </xf>
    <xf numFmtId="0" fontId="13" fillId="0" borderId="14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 vertical="center"/>
      <protection locked="0"/>
    </xf>
    <xf numFmtId="0" fontId="13" fillId="0" borderId="17" xfId="3" applyFont="1" applyBorder="1" applyAlignment="1" applyProtection="1">
      <alignment horizontal="center" vertical="center"/>
      <protection locked="0"/>
    </xf>
    <xf numFmtId="0" fontId="15" fillId="0" borderId="13" xfId="3" applyFont="1" applyBorder="1" applyAlignment="1" applyProtection="1">
      <alignment horizontal="center" vertical="center"/>
      <protection locked="0"/>
    </xf>
    <xf numFmtId="0" fontId="15" fillId="0" borderId="18" xfId="3" applyFont="1" applyBorder="1" applyAlignment="1" applyProtection="1">
      <alignment horizontal="center" vertical="center"/>
      <protection locked="0"/>
    </xf>
    <xf numFmtId="0" fontId="15" fillId="0" borderId="14" xfId="3" applyFont="1" applyBorder="1" applyAlignment="1" applyProtection="1">
      <alignment horizontal="center" vertical="center"/>
      <protection locked="0"/>
    </xf>
    <xf numFmtId="0" fontId="15" fillId="0" borderId="16" xfId="3" applyFont="1" applyBorder="1" applyAlignment="1" applyProtection="1">
      <alignment horizontal="center" vertical="center"/>
      <protection locked="0"/>
    </xf>
    <xf numFmtId="0" fontId="15" fillId="0" borderId="0" xfId="3" applyFont="1" applyAlignment="1" applyProtection="1">
      <alignment horizontal="center" vertical="center"/>
      <protection locked="0"/>
    </xf>
    <xf numFmtId="0" fontId="15" fillId="0" borderId="17" xfId="3" applyFont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>
      <alignment horizontal="center"/>
    </xf>
    <xf numFmtId="0" fontId="0" fillId="16" borderId="2" xfId="0" applyNumberFormat="1" applyFill="1" applyBorder="1" applyAlignment="1">
      <alignment horizontal="left"/>
    </xf>
    <xf numFmtId="0" fontId="0" fillId="15" borderId="23" xfId="0" applyNumberFormat="1" applyFill="1" applyBorder="1" applyAlignment="1">
      <alignment horizontal="left"/>
    </xf>
    <xf numFmtId="0" fontId="6" fillId="0" borderId="2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4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0" borderId="22" xfId="0" applyFont="1" applyFill="1" applyBorder="1" applyAlignment="1">
      <alignment horizontal="center" vertical="center"/>
    </xf>
    <xf numFmtId="0" fontId="7" fillId="11" borderId="29" xfId="0" applyFont="1" applyFill="1" applyBorder="1" applyAlignment="1">
      <alignment horizontal="center" vertical="center"/>
    </xf>
    <xf numFmtId="0" fontId="7" fillId="11" borderId="32" xfId="0" applyFont="1" applyFill="1" applyBorder="1" applyAlignment="1">
      <alignment horizontal="center" vertical="center"/>
    </xf>
    <xf numFmtId="0" fontId="6" fillId="12" borderId="22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3" borderId="29" xfId="0" applyFont="1" applyFill="1" applyBorder="1" applyAlignment="1">
      <alignment horizontal="center" vertical="center"/>
    </xf>
    <xf numFmtId="0" fontId="7" fillId="13" borderId="3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6" borderId="29" xfId="0" applyFont="1" applyFill="1" applyBorder="1" applyAlignment="1">
      <alignment horizontal="center" vertical="center"/>
    </xf>
    <xf numFmtId="0" fontId="7" fillId="16" borderId="32" xfId="0" applyFont="1" applyFill="1" applyBorder="1" applyAlignment="1">
      <alignment horizontal="center" vertical="center"/>
    </xf>
    <xf numFmtId="0" fontId="6" fillId="17" borderId="45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8" borderId="29" xfId="0" applyFont="1" applyFill="1" applyBorder="1"/>
    <xf numFmtId="0" fontId="7" fillId="18" borderId="30" xfId="0" applyFont="1" applyFill="1" applyBorder="1" applyAlignment="1">
      <alignment horizontal="center" vertical="center"/>
    </xf>
    <xf numFmtId="0" fontId="7" fillId="18" borderId="30" xfId="0" applyFont="1" applyFill="1" applyBorder="1" applyAlignment="1">
      <alignment horizontal="center" vertical="top" wrapText="1"/>
    </xf>
    <xf numFmtId="0" fontId="7" fillId="18" borderId="30" xfId="0" applyFont="1" applyFill="1" applyBorder="1" applyAlignment="1">
      <alignment horizontal="center"/>
    </xf>
    <xf numFmtId="0" fontId="6" fillId="18" borderId="30" xfId="0" applyFont="1" applyFill="1" applyBorder="1" applyAlignment="1">
      <alignment horizontal="center" vertical="center"/>
    </xf>
    <xf numFmtId="0" fontId="7" fillId="18" borderId="30" xfId="0" applyFont="1" applyFill="1" applyBorder="1" applyAlignment="1">
      <alignment horizontal="left" vertical="center"/>
    </xf>
    <xf numFmtId="0" fontId="7" fillId="18" borderId="30" xfId="0" applyFont="1" applyFill="1" applyBorder="1"/>
    <xf numFmtId="0" fontId="8" fillId="18" borderId="31" xfId="0" applyFont="1" applyFill="1" applyBorder="1"/>
    <xf numFmtId="0" fontId="7" fillId="18" borderId="5" xfId="0" applyFont="1" applyFill="1" applyBorder="1"/>
    <xf numFmtId="0" fontId="7" fillId="18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top" wrapText="1"/>
    </xf>
    <xf numFmtId="0" fontId="7" fillId="18" borderId="6" xfId="0" applyFont="1" applyFill="1" applyBorder="1" applyAlignment="1">
      <alignment horizontal="center"/>
    </xf>
    <xf numFmtId="0" fontId="6" fillId="18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left" vertical="center"/>
    </xf>
    <xf numFmtId="0" fontId="7" fillId="18" borderId="6" xfId="0" applyFont="1" applyFill="1" applyBorder="1"/>
    <xf numFmtId="0" fontId="8" fillId="18" borderId="7" xfId="0" applyFont="1" applyFill="1" applyBorder="1"/>
  </cellXfs>
  <cellStyles count="4">
    <cellStyle name="Currency" xfId="1" builtinId="4"/>
    <cellStyle name="Hyperlink" xfId="2" builtinId="8"/>
    <cellStyle name="Normal" xfId="0" builtinId="0"/>
    <cellStyle name="Normal 2" xfId="3" xr:uid="{B93126DE-0D01-4C50-8056-E448E7756006}"/>
  </cellStyles>
  <dxfs count="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523874</xdr:colOff>
      <xdr:row>1</xdr:row>
      <xdr:rowOff>147359</xdr:rowOff>
    </xdr:from>
    <xdr:to>
      <xdr:col>22</xdr:col>
      <xdr:colOff>89924</xdr:colOff>
      <xdr:row>21</xdr:row>
      <xdr:rowOff>30256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696CC-7E01-2651-12E7-0C3D44868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099" y="347384"/>
          <a:ext cx="5052450" cy="4664447"/>
        </a:xfrm>
        <a:prstGeom prst="rect">
          <a:avLst/>
        </a:prstGeom>
      </xdr:spPr>
    </xdr:pic>
    <xdr:clientData/>
  </xdr:twoCellAnchor>
  <xdr:twoCellAnchor editAs="oneCell">
    <xdr:from>
      <xdr:col>14</xdr:col>
      <xdr:colOff>9524</xdr:colOff>
      <xdr:row>21</xdr:row>
      <xdr:rowOff>93622</xdr:rowOff>
    </xdr:from>
    <xdr:to>
      <xdr:col>22</xdr:col>
      <xdr:colOff>179142</xdr:colOff>
      <xdr:row>45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59B5C-BF5B-98E4-2106-5EF44729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49349" y="5075197"/>
          <a:ext cx="5046418" cy="4554577"/>
        </a:xfrm>
        <a:prstGeom prst="rect">
          <a:avLst/>
        </a:prstGeom>
      </xdr:spPr>
    </xdr:pic>
    <xdr:clientData/>
  </xdr:twoCellAnchor>
  <xdr:twoCellAnchor editAs="oneCell">
    <xdr:from>
      <xdr:col>6</xdr:col>
      <xdr:colOff>907677</xdr:colOff>
      <xdr:row>23</xdr:row>
      <xdr:rowOff>16001</xdr:rowOff>
    </xdr:from>
    <xdr:to>
      <xdr:col>14</xdr:col>
      <xdr:colOff>136196</xdr:colOff>
      <xdr:row>59</xdr:row>
      <xdr:rowOff>91872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76F026-A6A3-C28C-EFFB-3A61E7016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9353" y="5383619"/>
          <a:ext cx="7319167" cy="6933871"/>
        </a:xfrm>
        <a:prstGeom prst="rect">
          <a:avLst/>
        </a:prstGeom>
      </xdr:spPr>
    </xdr:pic>
    <xdr:clientData/>
  </xdr:twoCellAnchor>
  <xdr:twoCellAnchor editAs="oneCell">
    <xdr:from>
      <xdr:col>1</xdr:col>
      <xdr:colOff>2375647</xdr:colOff>
      <xdr:row>66</xdr:row>
      <xdr:rowOff>156883</xdr:rowOff>
    </xdr:from>
    <xdr:to>
      <xdr:col>15</xdr:col>
      <xdr:colOff>8394</xdr:colOff>
      <xdr:row>74</xdr:row>
      <xdr:rowOff>71359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DD9AC1-9AE4-10FD-FF5F-19CC5868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0765" y="13716001"/>
          <a:ext cx="11965070" cy="1438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</xdr:colOff>
      <xdr:row>11</xdr:row>
      <xdr:rowOff>73585</xdr:rowOff>
    </xdr:from>
    <xdr:to>
      <xdr:col>6</xdr:col>
      <xdr:colOff>39101</xdr:colOff>
      <xdr:row>26</xdr:row>
      <xdr:rowOff>172180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03CE6-AF2E-2161-CE66-52E8CFFF1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4" y="2359585"/>
          <a:ext cx="4125327" cy="300372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github.com/cnlohr/rv003usb" TargetMode="External"/><Relationship Id="rId1" Type="http://schemas.openxmlformats.org/officeDocument/2006/relationships/hyperlink" Target="https://github.com/cnlohr/ch32fun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com/ProductDetail/Adafruit/3825?qs=%252BEew9%252B0nqrAn6n76%252BB5vZg%3D%3D" TargetMode="External"/><Relationship Id="rId1" Type="http://schemas.openxmlformats.org/officeDocument/2006/relationships/hyperlink" Target="https://www.lcsc.com/product-detail/C2871134.html?s_z=n_SN75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6952-430C-44AA-84E6-C88695E38A9F}">
  <dimension ref="A1:O31"/>
  <sheetViews>
    <sheetView tabSelected="1" topLeftCell="A4" zoomScale="98" zoomScaleNormal="130" workbookViewId="0">
      <selection activeCell="A10" sqref="A10"/>
    </sheetView>
  </sheetViews>
  <sheetFormatPr defaultRowHeight="15" x14ac:dyDescent="0.25"/>
  <cols>
    <col min="1" max="1" width="15.140625" bestFit="1" customWidth="1"/>
    <col min="2" max="3" width="18.85546875" customWidth="1"/>
    <col min="4" max="4" width="11.85546875" bestFit="1" customWidth="1"/>
    <col min="5" max="5" width="28.140625" bestFit="1" customWidth="1"/>
    <col min="6" max="6" width="16.28515625" customWidth="1"/>
    <col min="7" max="7" width="9.85546875" customWidth="1"/>
    <col min="8" max="8" width="6.28515625" bestFit="1" customWidth="1"/>
    <col min="9" max="9" width="121.5703125" bestFit="1" customWidth="1"/>
    <col min="10" max="10" width="59.42578125" bestFit="1" customWidth="1"/>
    <col min="11" max="11" width="21.42578125" bestFit="1" customWidth="1"/>
    <col min="12" max="12" width="11.7109375" bestFit="1" customWidth="1"/>
    <col min="13" max="13" width="6.140625" bestFit="1" customWidth="1"/>
    <col min="14" max="14" width="21.7109375" bestFit="1" customWidth="1"/>
  </cols>
  <sheetData>
    <row r="1" spans="1:15" ht="15.75" customHeight="1" thickBot="1" x14ac:dyDescent="0.3">
      <c r="A1" s="39"/>
      <c r="B1" s="39"/>
      <c r="C1" s="39" t="s">
        <v>142</v>
      </c>
      <c r="D1" s="40">
        <v>1</v>
      </c>
      <c r="E1" s="228" t="s">
        <v>139</v>
      </c>
      <c r="F1" s="229"/>
      <c r="G1" s="229"/>
      <c r="H1" s="229"/>
      <c r="I1" s="229"/>
      <c r="J1" s="229"/>
      <c r="K1" s="229"/>
      <c r="L1" s="229"/>
      <c r="M1" s="230"/>
      <c r="N1" s="36"/>
      <c r="O1" s="36"/>
    </row>
    <row r="2" spans="1:15" ht="15.75" customHeight="1" thickBot="1" x14ac:dyDescent="0.3">
      <c r="A2" s="41"/>
      <c r="B2" s="41"/>
      <c r="C2" s="41" t="s">
        <v>143</v>
      </c>
      <c r="D2" s="40">
        <v>1</v>
      </c>
      <c r="E2" s="231"/>
      <c r="F2" s="232"/>
      <c r="G2" s="232"/>
      <c r="H2" s="232"/>
      <c r="I2" s="232"/>
      <c r="J2" s="232"/>
      <c r="K2" s="232"/>
      <c r="L2" s="232"/>
      <c r="M2" s="233"/>
      <c r="N2" s="36"/>
      <c r="O2" s="36"/>
    </row>
    <row r="3" spans="1:15" ht="15.75" customHeight="1" thickBot="1" x14ac:dyDescent="0.3">
      <c r="A3" s="41"/>
      <c r="B3" s="41"/>
      <c r="C3" s="41" t="s">
        <v>144</v>
      </c>
      <c r="D3" s="40">
        <v>1</v>
      </c>
      <c r="E3" s="222" t="s">
        <v>141</v>
      </c>
      <c r="F3" s="223"/>
      <c r="G3" s="223"/>
      <c r="H3" s="223"/>
      <c r="I3" s="223"/>
      <c r="J3" s="223"/>
      <c r="K3" s="223"/>
      <c r="L3" s="223"/>
      <c r="M3" s="224"/>
      <c r="N3" s="36"/>
      <c r="O3" s="36"/>
    </row>
    <row r="4" spans="1:15" ht="15.75" customHeight="1" thickBot="1" x14ac:dyDescent="0.3">
      <c r="A4" s="131"/>
      <c r="B4" s="131"/>
      <c r="C4" s="131" t="s">
        <v>140</v>
      </c>
      <c r="D4" s="132">
        <v>46017</v>
      </c>
      <c r="E4" s="225"/>
      <c r="F4" s="226"/>
      <c r="G4" s="226"/>
      <c r="H4" s="226"/>
      <c r="I4" s="226"/>
      <c r="J4" s="226"/>
      <c r="K4" s="226"/>
      <c r="L4" s="226"/>
      <c r="M4" s="227"/>
      <c r="N4" s="36"/>
      <c r="O4" s="36"/>
    </row>
    <row r="5" spans="1:15" s="109" customFormat="1" ht="16.5" thickBot="1" x14ac:dyDescent="0.3">
      <c r="A5" s="159" t="s">
        <v>234</v>
      </c>
      <c r="B5" s="159" t="s">
        <v>233</v>
      </c>
      <c r="C5" s="159" t="s">
        <v>99</v>
      </c>
      <c r="D5" s="160" t="s">
        <v>94</v>
      </c>
      <c r="E5" s="160" t="s">
        <v>93</v>
      </c>
      <c r="F5" s="160" t="s">
        <v>107</v>
      </c>
      <c r="G5" s="160" t="s">
        <v>165</v>
      </c>
      <c r="H5" s="160" t="s">
        <v>145</v>
      </c>
      <c r="I5" s="161" t="s">
        <v>95</v>
      </c>
      <c r="J5" s="160" t="s">
        <v>135</v>
      </c>
      <c r="K5" s="160" t="s">
        <v>136</v>
      </c>
      <c r="L5" s="160" t="s">
        <v>137</v>
      </c>
      <c r="M5" s="162" t="s">
        <v>138</v>
      </c>
      <c r="N5" s="108"/>
      <c r="O5" s="108"/>
    </row>
    <row r="6" spans="1:15" ht="15.75" thickTop="1" x14ac:dyDescent="0.25">
      <c r="A6" s="237" t="b">
        <v>0</v>
      </c>
      <c r="B6" s="237" t="b">
        <v>1</v>
      </c>
      <c r="C6" s="133" t="s">
        <v>92</v>
      </c>
      <c r="D6" s="134">
        <v>1</v>
      </c>
      <c r="E6" s="134" t="s">
        <v>97</v>
      </c>
      <c r="F6" s="135" t="s">
        <v>186</v>
      </c>
      <c r="G6" s="136" t="s">
        <v>166</v>
      </c>
      <c r="H6" s="137"/>
      <c r="I6" s="138" t="s">
        <v>105</v>
      </c>
      <c r="J6" s="139" t="s">
        <v>229</v>
      </c>
      <c r="K6" s="139"/>
      <c r="L6" s="139"/>
      <c r="M6" s="140"/>
      <c r="N6" s="36"/>
      <c r="O6" s="36"/>
    </row>
    <row r="7" spans="1:15" x14ac:dyDescent="0.25">
      <c r="A7" s="237" t="b">
        <v>0</v>
      </c>
      <c r="B7" s="238" t="b">
        <v>1</v>
      </c>
      <c r="C7" s="84"/>
      <c r="D7" s="85">
        <v>1</v>
      </c>
      <c r="E7" s="85" t="s">
        <v>96</v>
      </c>
      <c r="F7" s="86" t="s">
        <v>187</v>
      </c>
      <c r="G7" s="87" t="s">
        <v>166</v>
      </c>
      <c r="H7" s="88"/>
      <c r="I7" s="89" t="s">
        <v>106</v>
      </c>
      <c r="J7" s="90" t="s">
        <v>230</v>
      </c>
      <c r="K7" s="90"/>
      <c r="L7" s="90"/>
      <c r="M7" s="91"/>
      <c r="N7" s="36"/>
      <c r="O7" s="36"/>
    </row>
    <row r="8" spans="1:15" s="109" customFormat="1" ht="15.75" thickBot="1" x14ac:dyDescent="0.3">
      <c r="A8" s="237" t="b">
        <v>0</v>
      </c>
      <c r="B8" s="239" t="b">
        <v>1</v>
      </c>
      <c r="C8" s="100"/>
      <c r="D8" s="101">
        <v>1</v>
      </c>
      <c r="E8" s="101" t="s">
        <v>98</v>
      </c>
      <c r="F8" s="102" t="s">
        <v>188</v>
      </c>
      <c r="G8" s="103" t="s">
        <v>166</v>
      </c>
      <c r="H8" s="104"/>
      <c r="I8" s="105" t="s">
        <v>104</v>
      </c>
      <c r="J8" s="106" t="s">
        <v>231</v>
      </c>
      <c r="K8" s="106"/>
      <c r="L8" s="106"/>
      <c r="M8" s="107"/>
      <c r="N8" s="108"/>
      <c r="O8" s="108"/>
    </row>
    <row r="9" spans="1:15" ht="15.75" thickTop="1" x14ac:dyDescent="0.25">
      <c r="A9" s="237" t="b">
        <v>0</v>
      </c>
      <c r="B9" s="237" t="b">
        <v>1</v>
      </c>
      <c r="C9" s="92" t="s">
        <v>100</v>
      </c>
      <c r="D9" s="93">
        <v>1</v>
      </c>
      <c r="E9" s="142" t="s">
        <v>206</v>
      </c>
      <c r="F9" s="94" t="s">
        <v>189</v>
      </c>
      <c r="G9" s="95" t="s">
        <v>166</v>
      </c>
      <c r="H9" s="96"/>
      <c r="I9" s="97" t="s">
        <v>103</v>
      </c>
      <c r="J9" s="98"/>
      <c r="K9" s="98"/>
      <c r="L9" s="98"/>
      <c r="M9" s="99"/>
      <c r="N9" s="36"/>
      <c r="O9" s="36"/>
    </row>
    <row r="10" spans="1:15" s="60" customFormat="1" x14ac:dyDescent="0.25">
      <c r="A10" s="237" t="b">
        <v>1</v>
      </c>
      <c r="B10" s="240" t="b">
        <v>0</v>
      </c>
      <c r="C10" s="79"/>
      <c r="D10" s="62">
        <v>2</v>
      </c>
      <c r="E10" s="62" t="s">
        <v>166</v>
      </c>
      <c r="F10" s="63" t="s">
        <v>239</v>
      </c>
      <c r="G10" s="64" t="s">
        <v>166</v>
      </c>
      <c r="H10" s="65"/>
      <c r="I10" s="66" t="s">
        <v>221</v>
      </c>
      <c r="J10" s="67"/>
      <c r="K10" s="67"/>
      <c r="L10" s="67"/>
      <c r="M10" s="80"/>
      <c r="N10" s="61"/>
      <c r="O10" s="61"/>
    </row>
    <row r="11" spans="1:15" ht="45" x14ac:dyDescent="0.25">
      <c r="A11" s="237" t="b">
        <v>0</v>
      </c>
      <c r="B11" s="241" t="b">
        <v>1</v>
      </c>
      <c r="C11" s="81"/>
      <c r="D11" s="62">
        <v>1</v>
      </c>
      <c r="E11" s="62">
        <v>5005</v>
      </c>
      <c r="F11" s="63" t="s">
        <v>191</v>
      </c>
      <c r="G11" s="64" t="s">
        <v>166</v>
      </c>
      <c r="H11" s="65"/>
      <c r="I11" s="66" t="s">
        <v>108</v>
      </c>
      <c r="J11" s="67" t="s">
        <v>232</v>
      </c>
      <c r="K11" s="67"/>
      <c r="L11" s="67"/>
      <c r="M11" s="80"/>
    </row>
    <row r="12" spans="1:15" s="182" customFormat="1" ht="15.75" thickBot="1" x14ac:dyDescent="0.3">
      <c r="A12" s="237" t="b">
        <v>0</v>
      </c>
      <c r="B12" s="239" t="b">
        <v>1</v>
      </c>
      <c r="C12" s="124"/>
      <c r="D12" s="125">
        <v>1</v>
      </c>
      <c r="E12" s="125" t="s">
        <v>118</v>
      </c>
      <c r="F12" s="180" t="s">
        <v>209</v>
      </c>
      <c r="G12" s="126" t="s">
        <v>166</v>
      </c>
      <c r="H12" s="127"/>
      <c r="I12" s="128" t="s">
        <v>207</v>
      </c>
      <c r="J12" s="129"/>
      <c r="K12" s="129"/>
      <c r="L12" s="129"/>
      <c r="M12" s="130"/>
      <c r="N12" s="181"/>
      <c r="O12" s="181"/>
    </row>
    <row r="13" spans="1:15" ht="15.75" thickTop="1" x14ac:dyDescent="0.25">
      <c r="A13" s="237" t="b">
        <v>0</v>
      </c>
      <c r="B13" s="237" t="b">
        <v>1</v>
      </c>
      <c r="C13" s="153" t="s">
        <v>225</v>
      </c>
      <c r="D13" s="173">
        <v>1</v>
      </c>
      <c r="E13" s="173" t="s">
        <v>110</v>
      </c>
      <c r="F13" s="174" t="s">
        <v>193</v>
      </c>
      <c r="G13" s="175" t="s">
        <v>166</v>
      </c>
      <c r="H13" s="176"/>
      <c r="I13" s="177" t="s">
        <v>126</v>
      </c>
      <c r="J13" s="178" t="s">
        <v>236</v>
      </c>
      <c r="K13" s="178"/>
      <c r="L13" s="178"/>
      <c r="M13" s="179"/>
      <c r="N13" s="36"/>
      <c r="O13" s="36"/>
    </row>
    <row r="14" spans="1:15" ht="45" x14ac:dyDescent="0.25">
      <c r="A14" s="237" t="b">
        <v>0</v>
      </c>
      <c r="B14" s="241" t="b">
        <v>1</v>
      </c>
      <c r="C14" s="145"/>
      <c r="D14" s="146">
        <v>12</v>
      </c>
      <c r="E14" s="146" t="s">
        <v>133</v>
      </c>
      <c r="F14" s="147" t="s">
        <v>192</v>
      </c>
      <c r="G14" s="148" t="s">
        <v>166</v>
      </c>
      <c r="H14" s="149"/>
      <c r="I14" s="150" t="s">
        <v>134</v>
      </c>
      <c r="J14" s="151" t="s">
        <v>231</v>
      </c>
      <c r="K14" s="151"/>
      <c r="L14" s="151"/>
      <c r="M14" s="152"/>
      <c r="N14" s="36"/>
      <c r="O14" s="36"/>
    </row>
    <row r="15" spans="1:15" s="194" customFormat="1" x14ac:dyDescent="0.25">
      <c r="A15" s="237" t="b">
        <v>0</v>
      </c>
      <c r="B15" s="241" t="b">
        <v>1</v>
      </c>
      <c r="C15" s="145"/>
      <c r="D15" s="146">
        <v>1</v>
      </c>
      <c r="E15" s="146" t="s">
        <v>121</v>
      </c>
      <c r="F15" s="147" t="s">
        <v>195</v>
      </c>
      <c r="G15" s="148" t="s">
        <v>166</v>
      </c>
      <c r="H15" s="149"/>
      <c r="I15" s="150" t="s">
        <v>130</v>
      </c>
      <c r="J15" s="151" t="s">
        <v>237</v>
      </c>
      <c r="K15" s="151"/>
      <c r="L15" s="151"/>
      <c r="M15" s="152"/>
      <c r="N15" s="193"/>
      <c r="O15" s="193"/>
    </row>
    <row r="16" spans="1:15" s="192" customFormat="1" ht="15.75" thickBot="1" x14ac:dyDescent="0.3">
      <c r="A16" s="237" t="b">
        <v>0</v>
      </c>
      <c r="B16" s="242" t="b">
        <v>1</v>
      </c>
      <c r="C16" s="183"/>
      <c r="D16" s="184">
        <v>2</v>
      </c>
      <c r="E16" s="184" t="s">
        <v>224</v>
      </c>
      <c r="F16" s="185" t="s">
        <v>222</v>
      </c>
      <c r="G16" s="186" t="s">
        <v>166</v>
      </c>
      <c r="H16" s="187"/>
      <c r="I16" s="188" t="s">
        <v>223</v>
      </c>
      <c r="J16" s="189" t="s">
        <v>238</v>
      </c>
      <c r="K16" s="189"/>
      <c r="L16" s="189"/>
      <c r="M16" s="190"/>
      <c r="N16" s="191"/>
      <c r="O16" s="191"/>
    </row>
    <row r="17" spans="1:15" ht="15.75" thickTop="1" x14ac:dyDescent="0.25">
      <c r="A17" s="237" t="b">
        <v>1</v>
      </c>
      <c r="B17" s="237" t="b">
        <v>0</v>
      </c>
      <c r="C17" s="116" t="s">
        <v>185</v>
      </c>
      <c r="D17" s="117">
        <v>1</v>
      </c>
      <c r="E17" s="117" t="s">
        <v>158</v>
      </c>
      <c r="F17" s="118" t="s">
        <v>160</v>
      </c>
      <c r="G17" s="119" t="s">
        <v>167</v>
      </c>
      <c r="H17" s="120"/>
      <c r="I17" s="121" t="s">
        <v>159</v>
      </c>
      <c r="J17" s="236" t="s">
        <v>235</v>
      </c>
      <c r="K17" s="122"/>
      <c r="L17" s="122"/>
      <c r="M17" s="123"/>
      <c r="N17" s="36"/>
      <c r="O17" s="36"/>
    </row>
    <row r="18" spans="1:15" x14ac:dyDescent="0.25">
      <c r="A18" s="237" t="b">
        <v>0</v>
      </c>
      <c r="B18" s="241" t="b">
        <v>1</v>
      </c>
      <c r="C18" s="82"/>
      <c r="D18" s="69">
        <v>1</v>
      </c>
      <c r="E18" s="69" t="s">
        <v>204</v>
      </c>
      <c r="F18" s="71" t="s">
        <v>161</v>
      </c>
      <c r="G18" s="72" t="s">
        <v>168</v>
      </c>
      <c r="H18" s="73"/>
      <c r="I18" s="70" t="s">
        <v>205</v>
      </c>
      <c r="J18" s="235">
        <v>1210</v>
      </c>
      <c r="K18" s="68"/>
      <c r="L18" s="68"/>
      <c r="M18" s="83"/>
      <c r="N18" s="36"/>
      <c r="O18" s="36"/>
    </row>
    <row r="19" spans="1:15" x14ac:dyDescent="0.25">
      <c r="A19" s="237" t="b">
        <v>1</v>
      </c>
      <c r="B19" s="241" t="b">
        <v>0</v>
      </c>
      <c r="C19" s="82"/>
      <c r="D19" s="69">
        <v>1</v>
      </c>
      <c r="E19" s="69" t="s">
        <v>210</v>
      </c>
      <c r="F19" s="71" t="s">
        <v>162</v>
      </c>
      <c r="G19" s="72" t="s">
        <v>169</v>
      </c>
      <c r="H19" s="73"/>
      <c r="I19" s="74" t="s">
        <v>211</v>
      </c>
      <c r="J19" s="235" t="s">
        <v>235</v>
      </c>
      <c r="K19" s="68"/>
      <c r="L19" s="68"/>
      <c r="M19" s="83"/>
      <c r="N19" s="36"/>
      <c r="O19" s="36"/>
    </row>
    <row r="20" spans="1:15" x14ac:dyDescent="0.25">
      <c r="A20" s="237" t="b">
        <v>1</v>
      </c>
      <c r="B20" s="241" t="b">
        <v>0</v>
      </c>
      <c r="C20" s="82"/>
      <c r="D20" s="75">
        <v>2</v>
      </c>
      <c r="E20" s="75" t="s">
        <v>216</v>
      </c>
      <c r="F20" s="76" t="s">
        <v>170</v>
      </c>
      <c r="G20" s="72" t="s">
        <v>218</v>
      </c>
      <c r="H20" s="77"/>
      <c r="I20" s="78" t="s">
        <v>217</v>
      </c>
      <c r="J20" s="235" t="s">
        <v>235</v>
      </c>
      <c r="K20" s="68"/>
      <c r="L20" s="68"/>
      <c r="M20" s="83"/>
      <c r="N20" s="36"/>
      <c r="O20" s="36"/>
    </row>
    <row r="21" spans="1:15" x14ac:dyDescent="0.25">
      <c r="A21" s="237" t="b">
        <v>0</v>
      </c>
      <c r="B21" s="241" t="b">
        <v>1</v>
      </c>
      <c r="C21" s="82"/>
      <c r="D21" s="75">
        <v>1</v>
      </c>
      <c r="E21" s="69" t="s">
        <v>202</v>
      </c>
      <c r="F21" s="76" t="s">
        <v>163</v>
      </c>
      <c r="G21" s="72" t="s">
        <v>171</v>
      </c>
      <c r="H21" s="73"/>
      <c r="I21" s="74" t="s">
        <v>201</v>
      </c>
      <c r="J21" s="144">
        <v>2010</v>
      </c>
      <c r="K21" s="68"/>
      <c r="L21" s="68"/>
      <c r="M21" s="83"/>
      <c r="N21" s="36"/>
      <c r="O21" s="36"/>
    </row>
    <row r="22" spans="1:15" x14ac:dyDescent="0.25">
      <c r="A22" s="237" t="b">
        <v>1</v>
      </c>
      <c r="B22" s="241" t="b">
        <v>0</v>
      </c>
      <c r="C22" s="82"/>
      <c r="D22" s="75">
        <v>1</v>
      </c>
      <c r="E22" s="69" t="s">
        <v>214</v>
      </c>
      <c r="F22" s="76" t="s">
        <v>164</v>
      </c>
      <c r="G22" s="72" t="s">
        <v>172</v>
      </c>
      <c r="H22" s="73"/>
      <c r="I22" s="74" t="s">
        <v>215</v>
      </c>
      <c r="J22" s="235" t="s">
        <v>235</v>
      </c>
      <c r="K22" s="68"/>
      <c r="L22" s="68"/>
      <c r="M22" s="83"/>
      <c r="N22" s="36"/>
      <c r="O22" s="36"/>
    </row>
    <row r="23" spans="1:15" x14ac:dyDescent="0.25">
      <c r="A23" s="237" t="b">
        <v>1</v>
      </c>
      <c r="B23" s="241" t="b">
        <v>0</v>
      </c>
      <c r="C23" s="82"/>
      <c r="D23" s="75">
        <v>2</v>
      </c>
      <c r="E23" s="141">
        <v>560112110017</v>
      </c>
      <c r="F23" s="76" t="s">
        <v>173</v>
      </c>
      <c r="G23" s="72">
        <v>47</v>
      </c>
      <c r="H23" s="77"/>
      <c r="I23" s="78" t="s">
        <v>203</v>
      </c>
      <c r="J23" s="235" t="s">
        <v>235</v>
      </c>
      <c r="K23" s="68"/>
      <c r="L23" s="68"/>
      <c r="M23" s="83"/>
      <c r="N23" s="36"/>
      <c r="O23" s="36"/>
    </row>
    <row r="24" spans="1:15" x14ac:dyDescent="0.25">
      <c r="A24" s="237" t="b">
        <v>1</v>
      </c>
      <c r="B24" s="241" t="b">
        <v>0</v>
      </c>
      <c r="C24" s="82"/>
      <c r="D24" s="75">
        <v>2</v>
      </c>
      <c r="E24" s="75" t="s">
        <v>212</v>
      </c>
      <c r="F24" s="76" t="s">
        <v>174</v>
      </c>
      <c r="G24" s="72" t="s">
        <v>175</v>
      </c>
      <c r="H24" s="77"/>
      <c r="I24" s="78" t="s">
        <v>213</v>
      </c>
      <c r="J24" s="235" t="s">
        <v>235</v>
      </c>
      <c r="K24" s="68"/>
      <c r="L24" s="68"/>
      <c r="M24" s="83"/>
      <c r="N24" s="36"/>
      <c r="O24" s="36"/>
    </row>
    <row r="25" spans="1:15" x14ac:dyDescent="0.25">
      <c r="A25" s="237" t="b">
        <v>1</v>
      </c>
      <c r="B25" s="238" t="b">
        <v>0</v>
      </c>
      <c r="C25" s="195"/>
      <c r="D25" s="196">
        <v>2</v>
      </c>
      <c r="E25" s="196" t="s">
        <v>197</v>
      </c>
      <c r="F25" s="197" t="s">
        <v>176</v>
      </c>
      <c r="G25" s="198" t="s">
        <v>177</v>
      </c>
      <c r="H25" s="199"/>
      <c r="I25" s="200" t="s">
        <v>198</v>
      </c>
      <c r="J25" s="235" t="s">
        <v>235</v>
      </c>
      <c r="K25" s="202"/>
      <c r="L25" s="202"/>
      <c r="M25" s="203"/>
      <c r="N25" s="36"/>
      <c r="O25" s="36"/>
    </row>
    <row r="26" spans="1:15" s="109" customFormat="1" ht="15.75" thickBot="1" x14ac:dyDescent="0.3">
      <c r="A26" s="237" t="b">
        <v>1</v>
      </c>
      <c r="B26" s="239" t="b">
        <v>0</v>
      </c>
      <c r="C26" s="212"/>
      <c r="D26" s="213">
        <v>1</v>
      </c>
      <c r="E26" s="213" t="s">
        <v>199</v>
      </c>
      <c r="F26" s="214" t="s">
        <v>178</v>
      </c>
      <c r="G26" s="215" t="s">
        <v>179</v>
      </c>
      <c r="H26" s="216"/>
      <c r="I26" s="217" t="s">
        <v>200</v>
      </c>
      <c r="J26" s="235" t="s">
        <v>235</v>
      </c>
      <c r="K26" s="219"/>
      <c r="L26" s="219"/>
      <c r="M26" s="220"/>
      <c r="N26" s="108"/>
      <c r="O26" s="108"/>
    </row>
    <row r="27" spans="1:15" ht="15.75" thickTop="1" x14ac:dyDescent="0.25">
      <c r="A27" s="237" t="b">
        <v>0</v>
      </c>
      <c r="B27" s="243" t="b">
        <v>1</v>
      </c>
      <c r="C27" s="204" t="s">
        <v>226</v>
      </c>
      <c r="D27" s="205">
        <v>1</v>
      </c>
      <c r="E27" s="205" t="s">
        <v>113</v>
      </c>
      <c r="F27" s="206" t="s">
        <v>194</v>
      </c>
      <c r="G27" s="207" t="s">
        <v>166</v>
      </c>
      <c r="H27" s="208"/>
      <c r="I27" s="209" t="s">
        <v>123</v>
      </c>
      <c r="J27" s="210"/>
      <c r="K27" s="210"/>
      <c r="L27" s="210"/>
      <c r="M27" s="211"/>
      <c r="N27" s="36"/>
      <c r="O27" s="36"/>
    </row>
    <row r="28" spans="1:15" x14ac:dyDescent="0.25">
      <c r="A28" s="237" t="b">
        <v>0</v>
      </c>
      <c r="B28" s="238" t="b">
        <v>1</v>
      </c>
      <c r="C28" s="265"/>
      <c r="D28" s="266">
        <v>2</v>
      </c>
      <c r="E28" s="266" t="s">
        <v>101</v>
      </c>
      <c r="F28" s="267" t="s">
        <v>190</v>
      </c>
      <c r="G28" s="268" t="s">
        <v>166</v>
      </c>
      <c r="H28" s="269"/>
      <c r="I28" s="270" t="s">
        <v>102</v>
      </c>
      <c r="J28" s="271"/>
      <c r="K28" s="271"/>
      <c r="L28" s="271"/>
      <c r="M28" s="272"/>
      <c r="N28" s="36"/>
      <c r="O28" s="36"/>
    </row>
    <row r="29" spans="1:15" x14ac:dyDescent="0.25">
      <c r="A29" s="237" t="b">
        <v>0</v>
      </c>
      <c r="B29" s="241" t="b">
        <v>0</v>
      </c>
      <c r="C29" s="163"/>
      <c r="D29" s="154"/>
      <c r="E29" s="154"/>
      <c r="F29" s="154"/>
      <c r="G29" s="154"/>
      <c r="H29" s="154"/>
      <c r="I29" s="154"/>
      <c r="J29" s="154"/>
      <c r="K29" s="154"/>
      <c r="L29" s="154"/>
      <c r="M29" s="164"/>
      <c r="N29" s="36"/>
      <c r="O29" s="36"/>
    </row>
    <row r="30" spans="1:15" x14ac:dyDescent="0.25">
      <c r="A30" s="237" t="b">
        <v>0</v>
      </c>
      <c r="B30" s="241" t="b">
        <v>0</v>
      </c>
      <c r="C30" s="163"/>
      <c r="D30" s="154"/>
      <c r="E30" s="154"/>
      <c r="F30" s="154"/>
      <c r="G30" s="154"/>
      <c r="H30" s="154"/>
      <c r="I30" s="154"/>
      <c r="J30" s="154"/>
      <c r="K30" s="154"/>
      <c r="L30" s="154"/>
      <c r="M30" s="164"/>
      <c r="N30" s="36"/>
      <c r="O30" s="36"/>
    </row>
    <row r="31" spans="1:15" s="60" customFormat="1" ht="15.75" thickBot="1" x14ac:dyDescent="0.3">
      <c r="A31" s="244" t="b">
        <v>0</v>
      </c>
      <c r="B31" s="245" t="b">
        <v>1</v>
      </c>
      <c r="C31" s="273"/>
      <c r="D31" s="274">
        <v>1</v>
      </c>
      <c r="E31" s="274" t="s">
        <v>119</v>
      </c>
      <c r="F31" s="275"/>
      <c r="G31" s="276" t="s">
        <v>166</v>
      </c>
      <c r="H31" s="277"/>
      <c r="I31" s="278" t="s">
        <v>208</v>
      </c>
      <c r="J31" s="279"/>
      <c r="K31" s="279"/>
      <c r="L31" s="279"/>
      <c r="M31" s="280"/>
      <c r="N31" s="61"/>
      <c r="O31" s="61"/>
    </row>
  </sheetData>
  <mergeCells count="2">
    <mergeCell ref="E1:M2"/>
    <mergeCell ref="E3:M4"/>
  </mergeCells>
  <phoneticPr fontId="18" type="noConversion"/>
  <conditionalFormatting sqref="A6:B31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034E-99F6-4C64-9A78-788C06E81851}">
  <dimension ref="A1:M32"/>
  <sheetViews>
    <sheetView zoomScale="98" zoomScaleNormal="130" workbookViewId="0">
      <selection activeCell="E32" sqref="E32"/>
    </sheetView>
  </sheetViews>
  <sheetFormatPr defaultRowHeight="15" x14ac:dyDescent="0.25"/>
  <cols>
    <col min="1" max="1" width="19.42578125" bestFit="1" customWidth="1"/>
    <col min="2" max="2" width="11.85546875" bestFit="1" customWidth="1"/>
    <col min="3" max="3" width="28.140625" bestFit="1" customWidth="1"/>
    <col min="4" max="4" width="16.28515625" customWidth="1"/>
    <col min="5" max="5" width="9.85546875" customWidth="1"/>
    <col min="6" max="6" width="6.28515625" bestFit="1" customWidth="1"/>
    <col min="7" max="7" width="121.5703125" bestFit="1" customWidth="1"/>
    <col min="8" max="8" width="59.42578125" bestFit="1" customWidth="1"/>
    <col min="9" max="9" width="21.42578125" bestFit="1" customWidth="1"/>
    <col min="10" max="10" width="11.7109375" bestFit="1" customWidth="1"/>
    <col min="11" max="11" width="6.140625" bestFit="1" customWidth="1"/>
    <col min="12" max="12" width="21.7109375" bestFit="1" customWidth="1"/>
  </cols>
  <sheetData>
    <row r="1" spans="1:13" ht="15.75" customHeight="1" thickBot="1" x14ac:dyDescent="0.3">
      <c r="A1" s="39" t="s">
        <v>142</v>
      </c>
      <c r="B1" s="40">
        <v>1</v>
      </c>
      <c r="C1" s="228" t="s">
        <v>139</v>
      </c>
      <c r="D1" s="229"/>
      <c r="E1" s="229"/>
      <c r="F1" s="229"/>
      <c r="G1" s="229"/>
      <c r="H1" s="229"/>
      <c r="I1" s="229"/>
      <c r="J1" s="229"/>
      <c r="K1" s="230"/>
      <c r="L1" s="36"/>
      <c r="M1" s="36"/>
    </row>
    <row r="2" spans="1:13" ht="15.75" customHeight="1" thickBot="1" x14ac:dyDescent="0.3">
      <c r="A2" s="41" t="s">
        <v>143</v>
      </c>
      <c r="B2" s="40">
        <v>1</v>
      </c>
      <c r="C2" s="231"/>
      <c r="D2" s="232"/>
      <c r="E2" s="232"/>
      <c r="F2" s="232"/>
      <c r="G2" s="232"/>
      <c r="H2" s="232"/>
      <c r="I2" s="232"/>
      <c r="J2" s="232"/>
      <c r="K2" s="233"/>
      <c r="L2" s="36"/>
      <c r="M2" s="36"/>
    </row>
    <row r="3" spans="1:13" ht="15.75" customHeight="1" thickBot="1" x14ac:dyDescent="0.3">
      <c r="A3" s="41" t="s">
        <v>144</v>
      </c>
      <c r="B3" s="40">
        <v>1</v>
      </c>
      <c r="C3" s="222" t="s">
        <v>141</v>
      </c>
      <c r="D3" s="223"/>
      <c r="E3" s="223"/>
      <c r="F3" s="223"/>
      <c r="G3" s="223"/>
      <c r="H3" s="223"/>
      <c r="I3" s="223"/>
      <c r="J3" s="223"/>
      <c r="K3" s="224"/>
      <c r="L3" s="36"/>
      <c r="M3" s="36"/>
    </row>
    <row r="4" spans="1:13" ht="15.75" customHeight="1" thickBot="1" x14ac:dyDescent="0.3">
      <c r="A4" s="131" t="s">
        <v>140</v>
      </c>
      <c r="B4" s="132">
        <v>46017</v>
      </c>
      <c r="C4" s="225"/>
      <c r="D4" s="226"/>
      <c r="E4" s="226"/>
      <c r="F4" s="226"/>
      <c r="G4" s="226"/>
      <c r="H4" s="226"/>
      <c r="I4" s="226"/>
      <c r="J4" s="226"/>
      <c r="K4" s="227"/>
      <c r="L4" s="36"/>
      <c r="M4" s="36"/>
    </row>
    <row r="5" spans="1:13" s="109" customFormat="1" ht="16.5" thickBot="1" x14ac:dyDescent="0.3">
      <c r="A5" s="159" t="s">
        <v>99</v>
      </c>
      <c r="B5" s="160" t="s">
        <v>94</v>
      </c>
      <c r="C5" s="160" t="s">
        <v>93</v>
      </c>
      <c r="D5" s="160" t="s">
        <v>107</v>
      </c>
      <c r="E5" s="160" t="s">
        <v>165</v>
      </c>
      <c r="F5" s="160" t="s">
        <v>145</v>
      </c>
      <c r="G5" s="161" t="s">
        <v>95</v>
      </c>
      <c r="H5" s="160" t="s">
        <v>135</v>
      </c>
      <c r="I5" s="160" t="s">
        <v>136</v>
      </c>
      <c r="J5" s="160" t="s">
        <v>137</v>
      </c>
      <c r="K5" s="162" t="s">
        <v>138</v>
      </c>
      <c r="L5" s="108"/>
      <c r="M5" s="108"/>
    </row>
    <row r="6" spans="1:13" ht="15.75" thickTop="1" x14ac:dyDescent="0.25">
      <c r="A6" s="246" t="s">
        <v>92</v>
      </c>
      <c r="B6" s="134">
        <v>1</v>
      </c>
      <c r="C6" s="134" t="s">
        <v>97</v>
      </c>
      <c r="D6" s="135" t="s">
        <v>186</v>
      </c>
      <c r="E6" s="136" t="s">
        <v>166</v>
      </c>
      <c r="F6" s="137"/>
      <c r="G6" s="138" t="s">
        <v>105</v>
      </c>
      <c r="H6" s="139" t="s">
        <v>229</v>
      </c>
      <c r="I6" s="139"/>
      <c r="J6" s="139"/>
      <c r="K6" s="140"/>
      <c r="L6" s="36"/>
      <c r="M6" s="36"/>
    </row>
    <row r="7" spans="1:13" x14ac:dyDescent="0.25">
      <c r="A7" s="247"/>
      <c r="B7" s="85">
        <v>1</v>
      </c>
      <c r="C7" s="85" t="s">
        <v>96</v>
      </c>
      <c r="D7" s="86" t="s">
        <v>187</v>
      </c>
      <c r="E7" s="87" t="s">
        <v>166</v>
      </c>
      <c r="F7" s="88"/>
      <c r="G7" s="89" t="s">
        <v>106</v>
      </c>
      <c r="H7" s="90" t="s">
        <v>230</v>
      </c>
      <c r="I7" s="90"/>
      <c r="J7" s="90"/>
      <c r="K7" s="91"/>
      <c r="L7" s="36"/>
      <c r="M7" s="36"/>
    </row>
    <row r="8" spans="1:13" s="109" customFormat="1" ht="15.75" thickBot="1" x14ac:dyDescent="0.3">
      <c r="A8" s="248"/>
      <c r="B8" s="101">
        <v>1</v>
      </c>
      <c r="C8" s="101" t="s">
        <v>98</v>
      </c>
      <c r="D8" s="102" t="s">
        <v>188</v>
      </c>
      <c r="E8" s="103" t="s">
        <v>166</v>
      </c>
      <c r="F8" s="104"/>
      <c r="G8" s="105" t="s">
        <v>104</v>
      </c>
      <c r="H8" s="106" t="s">
        <v>231</v>
      </c>
      <c r="I8" s="106"/>
      <c r="J8" s="106"/>
      <c r="K8" s="107"/>
      <c r="L8" s="108"/>
      <c r="M8" s="108"/>
    </row>
    <row r="9" spans="1:13" ht="15.75" thickTop="1" x14ac:dyDescent="0.25">
      <c r="A9" s="249" t="s">
        <v>100</v>
      </c>
      <c r="B9" s="93">
        <v>1</v>
      </c>
      <c r="C9" s="142" t="s">
        <v>206</v>
      </c>
      <c r="D9" s="94" t="s">
        <v>189</v>
      </c>
      <c r="E9" s="95" t="s">
        <v>166</v>
      </c>
      <c r="F9" s="96"/>
      <c r="G9" s="97" t="s">
        <v>103</v>
      </c>
      <c r="H9" s="98"/>
      <c r="I9" s="98"/>
      <c r="J9" s="98"/>
      <c r="K9" s="99"/>
      <c r="L9" s="36"/>
      <c r="M9" s="36"/>
    </row>
    <row r="10" spans="1:13" s="60" customFormat="1" x14ac:dyDescent="0.25">
      <c r="A10" s="250"/>
      <c r="B10" s="62">
        <v>2</v>
      </c>
      <c r="C10" s="62" t="s">
        <v>166</v>
      </c>
      <c r="D10" s="63" t="s">
        <v>196</v>
      </c>
      <c r="E10" s="64" t="s">
        <v>166</v>
      </c>
      <c r="F10" s="65"/>
      <c r="G10" s="66" t="s">
        <v>221</v>
      </c>
      <c r="H10" s="67"/>
      <c r="I10" s="67"/>
      <c r="J10" s="67"/>
      <c r="K10" s="80"/>
      <c r="L10" s="61"/>
      <c r="M10" s="61"/>
    </row>
    <row r="11" spans="1:13" ht="45" x14ac:dyDescent="0.25">
      <c r="A11" s="251"/>
      <c r="B11" s="62">
        <v>1</v>
      </c>
      <c r="C11" s="62">
        <v>5005</v>
      </c>
      <c r="D11" s="63" t="s">
        <v>191</v>
      </c>
      <c r="E11" s="64" t="s">
        <v>166</v>
      </c>
      <c r="F11" s="65"/>
      <c r="G11" s="66" t="s">
        <v>108</v>
      </c>
      <c r="H11" s="67" t="s">
        <v>232</v>
      </c>
      <c r="I11" s="67"/>
      <c r="J11" s="67"/>
      <c r="K11" s="80"/>
    </row>
    <row r="12" spans="1:13" x14ac:dyDescent="0.25">
      <c r="A12" s="252"/>
      <c r="B12" s="110">
        <v>2</v>
      </c>
      <c r="C12" s="110" t="s">
        <v>101</v>
      </c>
      <c r="D12" s="172" t="s">
        <v>190</v>
      </c>
      <c r="E12" s="111" t="s">
        <v>166</v>
      </c>
      <c r="F12" s="112"/>
      <c r="G12" s="113" t="s">
        <v>102</v>
      </c>
      <c r="H12" s="114"/>
      <c r="I12" s="114"/>
      <c r="J12" s="114"/>
      <c r="K12" s="115"/>
      <c r="L12" s="36"/>
      <c r="M12" s="36"/>
    </row>
    <row r="13" spans="1:13" s="182" customFormat="1" ht="15.75" thickBot="1" x14ac:dyDescent="0.3">
      <c r="A13" s="253"/>
      <c r="B13" s="125">
        <v>1</v>
      </c>
      <c r="C13" s="125" t="s">
        <v>118</v>
      </c>
      <c r="D13" s="180" t="s">
        <v>209</v>
      </c>
      <c r="E13" s="126" t="s">
        <v>166</v>
      </c>
      <c r="F13" s="127"/>
      <c r="G13" s="128" t="s">
        <v>207</v>
      </c>
      <c r="H13" s="129"/>
      <c r="I13" s="129"/>
      <c r="J13" s="129"/>
      <c r="K13" s="130"/>
      <c r="L13" s="181"/>
      <c r="M13" s="181"/>
    </row>
    <row r="14" spans="1:13" ht="15.75" thickTop="1" x14ac:dyDescent="0.25">
      <c r="A14" s="254" t="s">
        <v>225</v>
      </c>
      <c r="B14" s="173">
        <v>1</v>
      </c>
      <c r="C14" s="173" t="s">
        <v>110</v>
      </c>
      <c r="D14" s="174" t="s">
        <v>193</v>
      </c>
      <c r="E14" s="175" t="s">
        <v>166</v>
      </c>
      <c r="F14" s="176"/>
      <c r="G14" s="177" t="s">
        <v>126</v>
      </c>
      <c r="H14" s="178" t="s">
        <v>236</v>
      </c>
      <c r="I14" s="178"/>
      <c r="J14" s="178"/>
      <c r="K14" s="179"/>
      <c r="L14" s="36"/>
      <c r="M14" s="36"/>
    </row>
    <row r="15" spans="1:13" ht="45" x14ac:dyDescent="0.25">
      <c r="A15" s="255"/>
      <c r="B15" s="146">
        <v>12</v>
      </c>
      <c r="C15" s="146" t="s">
        <v>133</v>
      </c>
      <c r="D15" s="147" t="s">
        <v>192</v>
      </c>
      <c r="E15" s="148" t="s">
        <v>166</v>
      </c>
      <c r="F15" s="149"/>
      <c r="G15" s="150" t="s">
        <v>134</v>
      </c>
      <c r="H15" s="151" t="s">
        <v>231</v>
      </c>
      <c r="I15" s="151"/>
      <c r="J15" s="151"/>
      <c r="K15" s="152"/>
      <c r="L15" s="36"/>
      <c r="M15" s="36"/>
    </row>
    <row r="16" spans="1:13" s="194" customFormat="1" x14ac:dyDescent="0.25">
      <c r="A16" s="255"/>
      <c r="B16" s="146">
        <v>1</v>
      </c>
      <c r="C16" s="146" t="s">
        <v>121</v>
      </c>
      <c r="D16" s="147" t="s">
        <v>195</v>
      </c>
      <c r="E16" s="148" t="s">
        <v>166</v>
      </c>
      <c r="F16" s="149"/>
      <c r="G16" s="150" t="s">
        <v>130</v>
      </c>
      <c r="H16" s="151" t="s">
        <v>237</v>
      </c>
      <c r="I16" s="151"/>
      <c r="J16" s="151"/>
      <c r="K16" s="152"/>
      <c r="L16" s="193"/>
      <c r="M16" s="193"/>
    </row>
    <row r="17" spans="1:13" s="192" customFormat="1" ht="15.75" thickBot="1" x14ac:dyDescent="0.3">
      <c r="A17" s="256"/>
      <c r="B17" s="184">
        <v>2</v>
      </c>
      <c r="C17" s="184" t="s">
        <v>224</v>
      </c>
      <c r="D17" s="185" t="s">
        <v>222</v>
      </c>
      <c r="E17" s="186" t="s">
        <v>166</v>
      </c>
      <c r="F17" s="187"/>
      <c r="G17" s="188" t="s">
        <v>223</v>
      </c>
      <c r="H17" s="189" t="s">
        <v>238</v>
      </c>
      <c r="I17" s="189"/>
      <c r="J17" s="189"/>
      <c r="K17" s="190"/>
      <c r="L17" s="191"/>
      <c r="M17" s="191"/>
    </row>
    <row r="18" spans="1:13" ht="15.75" thickTop="1" x14ac:dyDescent="0.25">
      <c r="A18" s="257" t="s">
        <v>185</v>
      </c>
      <c r="B18" s="117">
        <v>1</v>
      </c>
      <c r="C18" s="117" t="s">
        <v>158</v>
      </c>
      <c r="D18" s="118" t="s">
        <v>160</v>
      </c>
      <c r="E18" s="119" t="s">
        <v>167</v>
      </c>
      <c r="F18" s="120"/>
      <c r="G18" s="121" t="s">
        <v>159</v>
      </c>
      <c r="H18" s="143" t="s">
        <v>183</v>
      </c>
      <c r="I18" s="122"/>
      <c r="J18" s="122"/>
      <c r="K18" s="123"/>
      <c r="L18" s="36"/>
      <c r="M18" s="36"/>
    </row>
    <row r="19" spans="1:13" x14ac:dyDescent="0.25">
      <c r="A19" s="258"/>
      <c r="B19" s="69">
        <v>1</v>
      </c>
      <c r="C19" s="69" t="s">
        <v>204</v>
      </c>
      <c r="D19" s="71" t="s">
        <v>161</v>
      </c>
      <c r="E19" s="72" t="s">
        <v>168</v>
      </c>
      <c r="F19" s="73"/>
      <c r="G19" s="70" t="s">
        <v>205</v>
      </c>
      <c r="H19" s="144" t="s">
        <v>184</v>
      </c>
      <c r="I19" s="68"/>
      <c r="J19" s="68"/>
      <c r="K19" s="83"/>
      <c r="L19" s="36"/>
      <c r="M19" s="36"/>
    </row>
    <row r="20" spans="1:13" x14ac:dyDescent="0.25">
      <c r="A20" s="258"/>
      <c r="B20" s="69">
        <v>1</v>
      </c>
      <c r="C20" s="69" t="s">
        <v>210</v>
      </c>
      <c r="D20" s="71" t="s">
        <v>162</v>
      </c>
      <c r="E20" s="72" t="s">
        <v>169</v>
      </c>
      <c r="F20" s="73"/>
      <c r="G20" s="74" t="s">
        <v>211</v>
      </c>
      <c r="H20" s="144" t="s">
        <v>219</v>
      </c>
      <c r="I20" s="68"/>
      <c r="J20" s="68"/>
      <c r="K20" s="83"/>
      <c r="L20" s="36"/>
      <c r="M20" s="36"/>
    </row>
    <row r="21" spans="1:13" x14ac:dyDescent="0.25">
      <c r="A21" s="258"/>
      <c r="B21" s="75">
        <v>2</v>
      </c>
      <c r="C21" s="75" t="s">
        <v>216</v>
      </c>
      <c r="D21" s="76" t="s">
        <v>170</v>
      </c>
      <c r="E21" s="72" t="s">
        <v>218</v>
      </c>
      <c r="F21" s="77"/>
      <c r="G21" s="78" t="s">
        <v>217</v>
      </c>
      <c r="H21" s="144" t="s">
        <v>182</v>
      </c>
      <c r="I21" s="68"/>
      <c r="J21" s="68"/>
      <c r="K21" s="83"/>
      <c r="L21" s="36"/>
      <c r="M21" s="36"/>
    </row>
    <row r="22" spans="1:13" x14ac:dyDescent="0.25">
      <c r="A22" s="258"/>
      <c r="B22" s="75">
        <v>1</v>
      </c>
      <c r="C22" s="69" t="s">
        <v>202</v>
      </c>
      <c r="D22" s="76" t="s">
        <v>163</v>
      </c>
      <c r="E22" s="72" t="s">
        <v>171</v>
      </c>
      <c r="F22" s="73"/>
      <c r="G22" s="74" t="s">
        <v>201</v>
      </c>
      <c r="H22" s="144" t="s">
        <v>181</v>
      </c>
      <c r="I22" s="68"/>
      <c r="J22" s="68"/>
      <c r="K22" s="83"/>
      <c r="L22" s="36"/>
      <c r="M22" s="36"/>
    </row>
    <row r="23" spans="1:13" x14ac:dyDescent="0.25">
      <c r="A23" s="258"/>
      <c r="B23" s="75">
        <v>1</v>
      </c>
      <c r="C23" s="69" t="s">
        <v>214</v>
      </c>
      <c r="D23" s="76" t="s">
        <v>164</v>
      </c>
      <c r="E23" s="72" t="s">
        <v>172</v>
      </c>
      <c r="F23" s="73"/>
      <c r="G23" s="74" t="s">
        <v>215</v>
      </c>
      <c r="H23" s="144" t="s">
        <v>180</v>
      </c>
      <c r="I23" s="68"/>
      <c r="J23" s="68"/>
      <c r="K23" s="83"/>
      <c r="L23" s="36"/>
      <c r="M23" s="36"/>
    </row>
    <row r="24" spans="1:13" x14ac:dyDescent="0.25">
      <c r="A24" s="258"/>
      <c r="B24" s="75">
        <v>2</v>
      </c>
      <c r="C24" s="141">
        <v>560112110017</v>
      </c>
      <c r="D24" s="76" t="s">
        <v>173</v>
      </c>
      <c r="E24" s="72">
        <v>47</v>
      </c>
      <c r="F24" s="77"/>
      <c r="G24" s="78" t="s">
        <v>203</v>
      </c>
      <c r="H24" s="144" t="s">
        <v>180</v>
      </c>
      <c r="I24" s="68"/>
      <c r="J24" s="68"/>
      <c r="K24" s="83"/>
      <c r="L24" s="36"/>
      <c r="M24" s="36"/>
    </row>
    <row r="25" spans="1:13" x14ac:dyDescent="0.25">
      <c r="A25" s="258"/>
      <c r="B25" s="75">
        <v>2</v>
      </c>
      <c r="C25" s="75" t="s">
        <v>212</v>
      </c>
      <c r="D25" s="76" t="s">
        <v>174</v>
      </c>
      <c r="E25" s="72" t="s">
        <v>175</v>
      </c>
      <c r="F25" s="77"/>
      <c r="G25" s="78" t="s">
        <v>213</v>
      </c>
      <c r="H25" s="144" t="s">
        <v>182</v>
      </c>
      <c r="I25" s="68"/>
      <c r="J25" s="68"/>
      <c r="K25" s="83"/>
      <c r="L25" s="36"/>
      <c r="M25" s="36"/>
    </row>
    <row r="26" spans="1:13" x14ac:dyDescent="0.25">
      <c r="A26" s="259"/>
      <c r="B26" s="196">
        <v>2</v>
      </c>
      <c r="C26" s="196" t="s">
        <v>197</v>
      </c>
      <c r="D26" s="197" t="s">
        <v>176</v>
      </c>
      <c r="E26" s="198" t="s">
        <v>177</v>
      </c>
      <c r="F26" s="199"/>
      <c r="G26" s="200" t="s">
        <v>198</v>
      </c>
      <c r="H26" s="201" t="s">
        <v>182</v>
      </c>
      <c r="I26" s="202"/>
      <c r="J26" s="202"/>
      <c r="K26" s="203"/>
      <c r="L26" s="36"/>
      <c r="M26" s="36"/>
    </row>
    <row r="27" spans="1:13" s="109" customFormat="1" ht="15.75" thickBot="1" x14ac:dyDescent="0.3">
      <c r="A27" s="260"/>
      <c r="B27" s="213">
        <v>1</v>
      </c>
      <c r="C27" s="213" t="s">
        <v>199</v>
      </c>
      <c r="D27" s="214" t="s">
        <v>178</v>
      </c>
      <c r="E27" s="215" t="s">
        <v>179</v>
      </c>
      <c r="F27" s="216"/>
      <c r="G27" s="217" t="s">
        <v>200</v>
      </c>
      <c r="H27" s="218" t="s">
        <v>180</v>
      </c>
      <c r="I27" s="219"/>
      <c r="J27" s="219"/>
      <c r="K27" s="220"/>
      <c r="L27" s="108"/>
      <c r="M27" s="108"/>
    </row>
    <row r="28" spans="1:13" ht="15.75" thickTop="1" x14ac:dyDescent="0.25">
      <c r="A28" s="261" t="s">
        <v>226</v>
      </c>
      <c r="B28" s="205">
        <v>1</v>
      </c>
      <c r="C28" s="205" t="s">
        <v>113</v>
      </c>
      <c r="D28" s="206" t="s">
        <v>194</v>
      </c>
      <c r="E28" s="207" t="s">
        <v>166</v>
      </c>
      <c r="F28" s="208"/>
      <c r="G28" s="209" t="s">
        <v>123</v>
      </c>
      <c r="H28" s="210"/>
      <c r="I28" s="210"/>
      <c r="J28" s="210"/>
      <c r="K28" s="211"/>
      <c r="L28" s="36"/>
      <c r="M28" s="36"/>
    </row>
    <row r="29" spans="1:13" x14ac:dyDescent="0.25">
      <c r="A29" s="262"/>
      <c r="B29" s="263"/>
      <c r="C29" s="155"/>
      <c r="D29" s="156"/>
      <c r="E29" s="154"/>
      <c r="F29" s="157"/>
      <c r="G29" s="158"/>
      <c r="H29" s="154"/>
      <c r="I29" s="154"/>
      <c r="J29" s="154"/>
      <c r="K29" s="164"/>
      <c r="L29" s="36"/>
      <c r="M29" s="36"/>
    </row>
    <row r="30" spans="1:13" x14ac:dyDescent="0.25">
      <c r="A30" s="262"/>
      <c r="B30" s="263"/>
      <c r="C30" s="154"/>
      <c r="D30" s="154"/>
      <c r="E30" s="154"/>
      <c r="F30" s="154"/>
      <c r="G30" s="154"/>
      <c r="H30" s="154"/>
      <c r="I30" s="154"/>
      <c r="J30" s="154"/>
      <c r="K30" s="164"/>
      <c r="L30" s="36"/>
      <c r="M30" s="36"/>
    </row>
    <row r="31" spans="1:13" x14ac:dyDescent="0.25">
      <c r="A31" s="262"/>
      <c r="B31" s="263"/>
      <c r="C31" s="154"/>
      <c r="D31" s="154"/>
      <c r="E31" s="154"/>
      <c r="F31" s="154"/>
      <c r="G31" s="154"/>
      <c r="H31" s="154"/>
      <c r="I31" s="154"/>
      <c r="J31" s="154"/>
      <c r="K31" s="164"/>
      <c r="L31" s="36"/>
      <c r="M31" s="36"/>
    </row>
    <row r="32" spans="1:13" s="60" customFormat="1" ht="15.75" thickBot="1" x14ac:dyDescent="0.3">
      <c r="A32" s="264"/>
      <c r="B32" s="165">
        <v>1</v>
      </c>
      <c r="C32" s="165" t="s">
        <v>119</v>
      </c>
      <c r="D32" s="166"/>
      <c r="E32" s="167" t="s">
        <v>166</v>
      </c>
      <c r="F32" s="168"/>
      <c r="G32" s="169" t="s">
        <v>208</v>
      </c>
      <c r="H32" s="170"/>
      <c r="I32" s="170"/>
      <c r="J32" s="170"/>
      <c r="K32" s="171"/>
      <c r="L32" s="61"/>
      <c r="M32" s="61"/>
    </row>
  </sheetData>
  <mergeCells count="2">
    <mergeCell ref="C3:K4"/>
    <mergeCell ref="C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5"/>
  <sheetViews>
    <sheetView zoomScale="85" zoomScaleNormal="85" workbookViewId="0">
      <selection activeCell="E25" sqref="E25"/>
    </sheetView>
  </sheetViews>
  <sheetFormatPr defaultRowHeight="15" x14ac:dyDescent="0.25"/>
  <cols>
    <col min="2" max="2" width="42.28515625" bestFit="1" customWidth="1"/>
    <col min="4" max="4" width="5.28515625" bestFit="1" customWidth="1"/>
    <col min="5" max="5" width="10.5703125" customWidth="1"/>
    <col min="6" max="11" width="17.28515625" customWidth="1"/>
    <col min="12" max="12" width="16.5703125" bestFit="1" customWidth="1"/>
  </cols>
  <sheetData>
    <row r="1" spans="2:12" ht="15.75" thickBot="1" x14ac:dyDescent="0.3"/>
    <row r="2" spans="2:12" ht="19.5" thickBot="1" x14ac:dyDescent="0.35">
      <c r="B2" s="11" t="s">
        <v>81</v>
      </c>
      <c r="D2" s="6" t="s">
        <v>12</v>
      </c>
      <c r="E2" s="47" t="s">
        <v>80</v>
      </c>
      <c r="F2" s="234" t="s">
        <v>13</v>
      </c>
      <c r="G2" s="234"/>
      <c r="H2" s="234"/>
      <c r="I2" s="234"/>
      <c r="J2" s="234"/>
      <c r="K2" s="234"/>
      <c r="L2" s="59" t="s">
        <v>149</v>
      </c>
    </row>
    <row r="3" spans="2:12" ht="18.75" x14ac:dyDescent="0.3">
      <c r="B3" s="18" t="s">
        <v>0</v>
      </c>
      <c r="D3" s="52">
        <v>1</v>
      </c>
      <c r="E3" s="53" t="s">
        <v>16</v>
      </c>
      <c r="F3" s="48" t="s">
        <v>17</v>
      </c>
      <c r="G3" s="49" t="s">
        <v>18</v>
      </c>
      <c r="H3" s="50" t="s">
        <v>19</v>
      </c>
      <c r="I3" s="50" t="s">
        <v>20</v>
      </c>
      <c r="J3" s="50"/>
      <c r="K3" s="51"/>
      <c r="L3" s="54"/>
    </row>
    <row r="4" spans="2:12" ht="18.75" x14ac:dyDescent="0.3">
      <c r="B4" s="25" t="s">
        <v>1</v>
      </c>
      <c r="D4" s="7">
        <v>2</v>
      </c>
      <c r="E4" s="4" t="s">
        <v>21</v>
      </c>
      <c r="F4" s="3" t="s">
        <v>22</v>
      </c>
      <c r="G4" s="19" t="s">
        <v>23</v>
      </c>
      <c r="H4" s="27" t="s">
        <v>24</v>
      </c>
      <c r="I4" s="1" t="s">
        <v>25</v>
      </c>
      <c r="J4" s="1"/>
      <c r="K4" s="43"/>
      <c r="L4" s="55"/>
    </row>
    <row r="5" spans="2:12" ht="18.75" x14ac:dyDescent="0.3">
      <c r="B5" s="22" t="s">
        <v>2</v>
      </c>
      <c r="D5" s="7">
        <v>3</v>
      </c>
      <c r="E5" s="4" t="s">
        <v>26</v>
      </c>
      <c r="F5" s="3" t="s">
        <v>27</v>
      </c>
      <c r="G5" s="19" t="s">
        <v>28</v>
      </c>
      <c r="H5" s="1" t="s">
        <v>29</v>
      </c>
      <c r="I5" s="1" t="s">
        <v>30</v>
      </c>
      <c r="J5" s="1" t="s">
        <v>31</v>
      </c>
      <c r="K5" s="43"/>
      <c r="L5" s="55"/>
    </row>
    <row r="6" spans="2:12" ht="18.75" x14ac:dyDescent="0.3">
      <c r="B6" s="9" t="s">
        <v>3</v>
      </c>
      <c r="D6" s="7">
        <v>4</v>
      </c>
      <c r="E6" s="4" t="s">
        <v>14</v>
      </c>
      <c r="F6" s="3"/>
      <c r="G6" s="1"/>
      <c r="H6" s="1"/>
      <c r="I6" s="1"/>
      <c r="J6" s="1"/>
      <c r="K6" s="43"/>
      <c r="L6" s="55"/>
    </row>
    <row r="7" spans="2:12" ht="18.75" x14ac:dyDescent="0.3">
      <c r="B7" s="9" t="s">
        <v>4</v>
      </c>
      <c r="D7" s="7">
        <v>5</v>
      </c>
      <c r="E7" s="4" t="s">
        <v>32</v>
      </c>
      <c r="F7" s="3" t="s">
        <v>33</v>
      </c>
      <c r="G7" s="1" t="s">
        <v>34</v>
      </c>
      <c r="H7" s="13" t="s">
        <v>35</v>
      </c>
      <c r="I7" s="23" t="s">
        <v>36</v>
      </c>
      <c r="J7" s="1"/>
      <c r="K7" s="43"/>
      <c r="L7" s="55"/>
    </row>
    <row r="8" spans="2:12" ht="18.75" x14ac:dyDescent="0.3">
      <c r="B8" s="9" t="s">
        <v>5</v>
      </c>
      <c r="D8" s="7">
        <v>6</v>
      </c>
      <c r="E8" s="4" t="s">
        <v>15</v>
      </c>
      <c r="F8" s="3"/>
      <c r="G8" s="1"/>
      <c r="H8" s="1"/>
      <c r="I8" s="1"/>
      <c r="J8" s="1"/>
      <c r="K8" s="43"/>
      <c r="L8" s="55"/>
    </row>
    <row r="9" spans="2:12" ht="18.75" x14ac:dyDescent="0.3">
      <c r="B9" s="12" t="s">
        <v>6</v>
      </c>
      <c r="D9" s="7">
        <v>7</v>
      </c>
      <c r="E9" s="4" t="s">
        <v>37</v>
      </c>
      <c r="F9" s="26" t="s">
        <v>38</v>
      </c>
      <c r="G9" s="23" t="s">
        <v>36</v>
      </c>
      <c r="H9" s="16" t="s">
        <v>39</v>
      </c>
      <c r="I9" s="27" t="s">
        <v>40</v>
      </c>
      <c r="J9" s="1"/>
      <c r="K9" s="43"/>
      <c r="L9" s="55"/>
    </row>
    <row r="10" spans="2:12" ht="18.75" x14ac:dyDescent="0.3">
      <c r="B10" s="12" t="s">
        <v>7</v>
      </c>
      <c r="D10" s="7">
        <v>8</v>
      </c>
      <c r="E10" s="4" t="s">
        <v>41</v>
      </c>
      <c r="F10" s="14" t="s">
        <v>35</v>
      </c>
      <c r="G10" s="16" t="s">
        <v>39</v>
      </c>
      <c r="H10" s="27" t="s">
        <v>18</v>
      </c>
      <c r="I10" s="1" t="s">
        <v>42</v>
      </c>
      <c r="J10" s="1" t="s">
        <v>43</v>
      </c>
      <c r="K10" s="44" t="s">
        <v>44</v>
      </c>
      <c r="L10" s="55"/>
    </row>
    <row r="11" spans="2:12" ht="18.75" x14ac:dyDescent="0.3">
      <c r="B11" s="15" t="s">
        <v>8</v>
      </c>
      <c r="D11" s="7">
        <v>9</v>
      </c>
      <c r="E11" s="4" t="s">
        <v>45</v>
      </c>
      <c r="F11" s="14" t="s">
        <v>46</v>
      </c>
      <c r="G11" s="23" t="s">
        <v>47</v>
      </c>
      <c r="H11" s="1" t="s">
        <v>43</v>
      </c>
      <c r="I11" s="1" t="s">
        <v>48</v>
      </c>
      <c r="J11" s="27" t="s">
        <v>49</v>
      </c>
      <c r="K11" s="43" t="s">
        <v>50</v>
      </c>
      <c r="L11" s="55"/>
    </row>
    <row r="12" spans="2:12" ht="18.75" x14ac:dyDescent="0.3">
      <c r="B12" s="15" t="s">
        <v>9</v>
      </c>
      <c r="D12" s="7">
        <v>10</v>
      </c>
      <c r="E12" s="4" t="s">
        <v>51</v>
      </c>
      <c r="F12" s="26" t="s">
        <v>40</v>
      </c>
      <c r="G12" s="1" t="s">
        <v>52</v>
      </c>
      <c r="H12" s="23" t="s">
        <v>53</v>
      </c>
      <c r="I12" s="1"/>
      <c r="J12" s="1"/>
      <c r="K12" s="43"/>
      <c r="L12" s="55"/>
    </row>
    <row r="13" spans="2:12" ht="18.75" x14ac:dyDescent="0.3">
      <c r="B13" s="15" t="s">
        <v>10</v>
      </c>
      <c r="D13" s="7">
        <v>11</v>
      </c>
      <c r="E13" s="4" t="s">
        <v>54</v>
      </c>
      <c r="F13" s="20" t="s">
        <v>55</v>
      </c>
      <c r="G13" s="27" t="s">
        <v>56</v>
      </c>
      <c r="H13" s="1" t="s">
        <v>57</v>
      </c>
      <c r="I13" s="1" t="s">
        <v>58</v>
      </c>
      <c r="J13" s="1"/>
      <c r="K13" s="43"/>
      <c r="L13" s="55"/>
    </row>
    <row r="14" spans="2:12" ht="18.75" x14ac:dyDescent="0.3">
      <c r="B14" s="15" t="s">
        <v>11</v>
      </c>
      <c r="D14" s="7">
        <v>12</v>
      </c>
      <c r="E14" s="4" t="s">
        <v>59</v>
      </c>
      <c r="F14" s="17" t="s">
        <v>60</v>
      </c>
      <c r="G14" s="1" t="s">
        <v>50</v>
      </c>
      <c r="H14" s="1" t="s">
        <v>42</v>
      </c>
      <c r="I14" s="13" t="s">
        <v>46</v>
      </c>
      <c r="J14" s="1" t="s">
        <v>20</v>
      </c>
      <c r="K14" s="45" t="s">
        <v>40</v>
      </c>
      <c r="L14" s="55"/>
    </row>
    <row r="15" spans="2:12" ht="19.5" thickBot="1" x14ac:dyDescent="0.35">
      <c r="B15" s="10" t="s">
        <v>82</v>
      </c>
      <c r="D15" s="7">
        <v>13</v>
      </c>
      <c r="E15" s="4" t="s">
        <v>61</v>
      </c>
      <c r="F15" s="17" t="s">
        <v>62</v>
      </c>
      <c r="G15" s="27" t="s">
        <v>63</v>
      </c>
      <c r="H15" s="23" t="s">
        <v>53</v>
      </c>
      <c r="I15" s="13" t="s">
        <v>35</v>
      </c>
      <c r="J15" s="1"/>
      <c r="K15" s="43"/>
      <c r="L15" s="55"/>
    </row>
    <row r="16" spans="2:12" ht="18.75" x14ac:dyDescent="0.3">
      <c r="D16" s="7">
        <v>14</v>
      </c>
      <c r="E16" s="4" t="s">
        <v>64</v>
      </c>
      <c r="F16" s="17" t="s">
        <v>65</v>
      </c>
      <c r="G16" s="27" t="s">
        <v>24</v>
      </c>
      <c r="H16" s="27" t="s">
        <v>49</v>
      </c>
      <c r="I16" s="23" t="s">
        <v>47</v>
      </c>
      <c r="J16" s="1"/>
      <c r="K16" s="43"/>
      <c r="L16" s="55"/>
    </row>
    <row r="17" spans="4:12" ht="18.75" x14ac:dyDescent="0.3">
      <c r="D17" s="7">
        <v>15</v>
      </c>
      <c r="E17" s="4" t="s">
        <v>66</v>
      </c>
      <c r="F17" s="3" t="s">
        <v>67</v>
      </c>
      <c r="G17" s="1" t="s">
        <v>48</v>
      </c>
      <c r="H17" s="27" t="s">
        <v>40</v>
      </c>
      <c r="I17" s="13" t="s">
        <v>46</v>
      </c>
      <c r="J17" s="23" t="s">
        <v>44</v>
      </c>
      <c r="K17" s="43"/>
      <c r="L17" s="55"/>
    </row>
    <row r="18" spans="4:12" ht="18.75" x14ac:dyDescent="0.3">
      <c r="D18" s="7">
        <v>16</v>
      </c>
      <c r="E18" s="4" t="s">
        <v>68</v>
      </c>
      <c r="F18" s="20" t="s">
        <v>69</v>
      </c>
      <c r="G18" s="27" t="s">
        <v>70</v>
      </c>
      <c r="H18" s="27" t="s">
        <v>38</v>
      </c>
      <c r="I18" s="1" t="s">
        <v>29</v>
      </c>
      <c r="J18" s="1"/>
      <c r="K18" s="43"/>
      <c r="L18" s="55"/>
    </row>
    <row r="19" spans="4:12" ht="18.75" x14ac:dyDescent="0.3">
      <c r="D19" s="7">
        <v>17</v>
      </c>
      <c r="E19" s="4" t="s">
        <v>71</v>
      </c>
      <c r="F19" s="20" t="s">
        <v>72</v>
      </c>
      <c r="G19" s="27" t="s">
        <v>49</v>
      </c>
      <c r="H19" s="1" t="s">
        <v>48</v>
      </c>
      <c r="I19" s="23" t="s">
        <v>53</v>
      </c>
      <c r="J19" s="27" t="s">
        <v>56</v>
      </c>
      <c r="K19" s="43"/>
      <c r="L19" s="58" t="s">
        <v>150</v>
      </c>
    </row>
    <row r="20" spans="4:12" ht="18.75" x14ac:dyDescent="0.3">
      <c r="D20" s="7">
        <v>18</v>
      </c>
      <c r="E20" s="4" t="s">
        <v>73</v>
      </c>
      <c r="F20" s="20" t="s">
        <v>74</v>
      </c>
      <c r="G20" s="1" t="s">
        <v>20</v>
      </c>
      <c r="H20" s="1" t="s">
        <v>42</v>
      </c>
      <c r="I20" s="1" t="s">
        <v>75</v>
      </c>
      <c r="J20" s="1" t="s">
        <v>76</v>
      </c>
      <c r="K20" s="43"/>
      <c r="L20" s="58" t="s">
        <v>151</v>
      </c>
    </row>
    <row r="21" spans="4:12" ht="18.75" x14ac:dyDescent="0.3">
      <c r="D21" s="7">
        <v>19</v>
      </c>
      <c r="E21" s="4" t="s">
        <v>77</v>
      </c>
      <c r="F21" s="20" t="s">
        <v>78</v>
      </c>
      <c r="G21" s="23" t="s">
        <v>36</v>
      </c>
      <c r="H21" s="27" t="s">
        <v>18</v>
      </c>
      <c r="I21" s="23" t="s">
        <v>44</v>
      </c>
      <c r="J21" s="1"/>
      <c r="K21" s="43"/>
      <c r="L21" s="58" t="s">
        <v>152</v>
      </c>
    </row>
    <row r="22" spans="4:12" ht="19.5" thickBot="1" x14ac:dyDescent="0.35">
      <c r="D22" s="8">
        <v>20</v>
      </c>
      <c r="E22" s="5" t="s">
        <v>79</v>
      </c>
      <c r="F22" s="21" t="s">
        <v>74</v>
      </c>
      <c r="G22" s="24" t="s">
        <v>44</v>
      </c>
      <c r="H22" s="28" t="s">
        <v>38</v>
      </c>
      <c r="I22" s="24" t="s">
        <v>36</v>
      </c>
      <c r="J22" s="2"/>
      <c r="K22" s="46"/>
      <c r="L22" s="56"/>
    </row>
    <row r="25" spans="4:12" x14ac:dyDescent="0.25">
      <c r="E25" s="57" t="s">
        <v>153</v>
      </c>
    </row>
    <row r="27" spans="4:12" x14ac:dyDescent="0.25">
      <c r="E27" s="57" t="s">
        <v>154</v>
      </c>
    </row>
    <row r="29" spans="4:12" x14ac:dyDescent="0.25">
      <c r="E29" t="s">
        <v>155</v>
      </c>
    </row>
    <row r="31" spans="4:12" x14ac:dyDescent="0.25">
      <c r="E31" t="s">
        <v>156</v>
      </c>
    </row>
    <row r="65" spans="3:3" x14ac:dyDescent="0.25">
      <c r="C65" t="s">
        <v>157</v>
      </c>
    </row>
  </sheetData>
  <mergeCells count="1">
    <mergeCell ref="F2:K2"/>
  </mergeCells>
  <hyperlinks>
    <hyperlink ref="E27" r:id="rId1" xr:uid="{E0F6383B-4BDA-4ACA-9049-DCAA748F9F7E}"/>
    <hyperlink ref="E25" r:id="rId2" xr:uid="{EB1DDABE-E978-4224-A476-73147F7CBB33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52D2-7558-455D-94BF-A1AB4EDE4282}">
  <dimension ref="B2:F12"/>
  <sheetViews>
    <sheetView workbookViewId="0">
      <selection activeCell="D35" sqref="D35"/>
    </sheetView>
  </sheetViews>
  <sheetFormatPr defaultRowHeight="15" x14ac:dyDescent="0.25"/>
  <cols>
    <col min="2" max="2" width="15.28515625" bestFit="1" customWidth="1"/>
    <col min="3" max="3" width="10.140625" customWidth="1"/>
    <col min="4" max="4" width="28.7109375" bestFit="1" customWidth="1"/>
    <col min="5" max="5" width="11" bestFit="1" customWidth="1"/>
    <col min="6" max="6" width="12.5703125" bestFit="1" customWidth="1"/>
  </cols>
  <sheetData>
    <row r="2" spans="2:6" ht="18.75" x14ac:dyDescent="0.3">
      <c r="C2" s="32" t="s">
        <v>84</v>
      </c>
      <c r="D2" s="32" t="s">
        <v>90</v>
      </c>
      <c r="E2" s="32" t="s">
        <v>85</v>
      </c>
      <c r="F2" s="32" t="s">
        <v>86</v>
      </c>
    </row>
    <row r="3" spans="2:6" ht="18.75" x14ac:dyDescent="0.3">
      <c r="B3" s="31" t="s">
        <v>83</v>
      </c>
      <c r="C3" s="29">
        <v>10</v>
      </c>
      <c r="D3" s="29">
        <v>5</v>
      </c>
      <c r="E3" s="29">
        <v>24.15</v>
      </c>
      <c r="F3" s="29">
        <f>SUM(C3:E3)</f>
        <v>39.15</v>
      </c>
    </row>
    <row r="4" spans="2:6" x14ac:dyDescent="0.25">
      <c r="C4" s="29"/>
      <c r="D4" s="29"/>
    </row>
    <row r="5" spans="2:6" x14ac:dyDescent="0.25">
      <c r="C5" s="29"/>
      <c r="D5" s="29"/>
    </row>
    <row r="6" spans="2:6" x14ac:dyDescent="0.25">
      <c r="C6" s="29"/>
      <c r="D6" s="29"/>
    </row>
    <row r="7" spans="2:6" ht="18.75" x14ac:dyDescent="0.3">
      <c r="B7" s="31" t="s">
        <v>87</v>
      </c>
      <c r="C7" s="29">
        <v>7</v>
      </c>
      <c r="D7" s="29">
        <v>2</v>
      </c>
      <c r="E7" s="29">
        <v>42.66</v>
      </c>
      <c r="F7" s="29">
        <v>60</v>
      </c>
    </row>
    <row r="8" spans="2:6" x14ac:dyDescent="0.25">
      <c r="C8" s="29"/>
      <c r="D8" s="29"/>
    </row>
    <row r="9" spans="2:6" x14ac:dyDescent="0.25">
      <c r="C9" s="29"/>
      <c r="D9" s="29"/>
    </row>
    <row r="11" spans="2:6" ht="18.75" x14ac:dyDescent="0.3">
      <c r="B11" s="31" t="s">
        <v>88</v>
      </c>
      <c r="C11" t="s">
        <v>91</v>
      </c>
      <c r="D11" s="30">
        <v>7.5</v>
      </c>
    </row>
    <row r="12" spans="2:6" ht="18.75" x14ac:dyDescent="0.3">
      <c r="B12" s="31" t="s">
        <v>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92BA-2F79-49D5-B025-264C23C3C544}">
  <dimension ref="B3:H24"/>
  <sheetViews>
    <sheetView topLeftCell="B1" workbookViewId="0">
      <selection activeCell="E27" sqref="E27"/>
    </sheetView>
  </sheetViews>
  <sheetFormatPr defaultRowHeight="15" x14ac:dyDescent="0.25"/>
  <cols>
    <col min="2" max="2" width="21.7109375" bestFit="1" customWidth="1"/>
    <col min="4" max="5" width="28" bestFit="1" customWidth="1"/>
  </cols>
  <sheetData>
    <row r="3" spans="2:8" x14ac:dyDescent="0.25">
      <c r="B3" s="34">
        <v>12</v>
      </c>
      <c r="C3" s="34" t="s">
        <v>111</v>
      </c>
      <c r="D3" s="33"/>
      <c r="E3" s="33"/>
      <c r="F3" s="35" t="s">
        <v>112</v>
      </c>
    </row>
    <row r="4" spans="2:8" x14ac:dyDescent="0.25">
      <c r="B4" s="34">
        <v>1</v>
      </c>
      <c r="C4" s="34">
        <v>500</v>
      </c>
      <c r="D4" s="33"/>
      <c r="E4" s="33"/>
      <c r="F4" s="35" t="s">
        <v>125</v>
      </c>
    </row>
    <row r="5" spans="2:8" x14ac:dyDescent="0.25">
      <c r="C5" s="37" t="s">
        <v>132</v>
      </c>
    </row>
    <row r="7" spans="2:8" x14ac:dyDescent="0.25">
      <c r="B7" s="36" t="s">
        <v>109</v>
      </c>
      <c r="C7" s="38">
        <v>3825</v>
      </c>
    </row>
    <row r="8" spans="2:8" x14ac:dyDescent="0.25">
      <c r="C8" s="34">
        <v>10</v>
      </c>
      <c r="D8" s="34" t="s">
        <v>115</v>
      </c>
      <c r="E8" s="33"/>
      <c r="F8" s="33"/>
      <c r="G8" s="35" t="s">
        <v>124</v>
      </c>
    </row>
    <row r="9" spans="2:8" x14ac:dyDescent="0.25">
      <c r="D9" t="s">
        <v>220</v>
      </c>
    </row>
    <row r="12" spans="2:8" x14ac:dyDescent="0.25">
      <c r="D12" s="34">
        <v>12</v>
      </c>
      <c r="E12" s="34" t="s">
        <v>116</v>
      </c>
      <c r="F12" s="33"/>
      <c r="G12" s="33"/>
      <c r="H12" s="35" t="s">
        <v>127</v>
      </c>
    </row>
    <row r="14" spans="2:8" x14ac:dyDescent="0.25">
      <c r="D14" t="s">
        <v>148</v>
      </c>
      <c r="E14" t="s">
        <v>147</v>
      </c>
    </row>
    <row r="19" spans="3:8" ht="23.25" x14ac:dyDescent="0.35">
      <c r="D19" s="42" t="s">
        <v>146</v>
      </c>
    </row>
    <row r="20" spans="3:8" x14ac:dyDescent="0.25">
      <c r="D20" s="34">
        <v>1</v>
      </c>
      <c r="E20" s="34" t="s">
        <v>120</v>
      </c>
      <c r="F20" s="33"/>
      <c r="G20" s="33"/>
      <c r="H20" s="35" t="s">
        <v>129</v>
      </c>
    </row>
    <row r="21" spans="3:8" x14ac:dyDescent="0.25">
      <c r="D21" s="34">
        <v>1</v>
      </c>
      <c r="E21" s="34">
        <v>78201465351</v>
      </c>
      <c r="F21" s="33"/>
      <c r="G21" s="33"/>
      <c r="H21" s="35" t="s">
        <v>128</v>
      </c>
    </row>
    <row r="22" spans="3:8" x14ac:dyDescent="0.25">
      <c r="D22" s="34">
        <v>2</v>
      </c>
      <c r="E22" s="34" t="s">
        <v>114</v>
      </c>
      <c r="F22" s="33"/>
      <c r="G22" s="33"/>
      <c r="H22" s="35" t="s">
        <v>122</v>
      </c>
    </row>
    <row r="23" spans="3:8" x14ac:dyDescent="0.25">
      <c r="D23" s="34">
        <v>12</v>
      </c>
      <c r="E23" s="34" t="s">
        <v>117</v>
      </c>
      <c r="F23" s="33"/>
      <c r="G23" s="33"/>
      <c r="H23" s="35" t="s">
        <v>131</v>
      </c>
    </row>
    <row r="24" spans="3:8" x14ac:dyDescent="0.25">
      <c r="C24" s="221"/>
      <c r="D24" s="34">
        <v>100</v>
      </c>
      <c r="E24" s="34" t="s">
        <v>227</v>
      </c>
      <c r="H24" t="s">
        <v>228</v>
      </c>
    </row>
  </sheetData>
  <hyperlinks>
    <hyperlink ref="C5" r:id="rId1" tooltip="SN75468DR" display="https://www.lcsc.com/product-detail/C2871134.html?s_z=n_SN75468" xr:uid="{66B53208-7F28-46F1-93C5-4318D1DB25CB}"/>
    <hyperlink ref="C7" r:id="rId2" display="https://www.mouser.com/ProductDetail/Adafruit/3825?qs=%252BEew9%252B0nqrAn6n76%252BB5vZg%3D%3D" xr:uid="{75C6313B-28DC-4A41-961A-B038562B2C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PROTOTYPE BOM v1</vt:lpstr>
      <vt:lpstr>PRODUCTION BOM</vt:lpstr>
      <vt:lpstr>CH32V003F4U6 PIN FUNCTIONS</vt:lpstr>
      <vt:lpstr>COST ESTIMATES</vt:lpstr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Alvarez</dc:creator>
  <cp:lastModifiedBy>Nicolas Alvarez</cp:lastModifiedBy>
  <dcterms:created xsi:type="dcterms:W3CDTF">2015-06-05T18:17:20Z</dcterms:created>
  <dcterms:modified xsi:type="dcterms:W3CDTF">2026-01-10T21:50:33Z</dcterms:modified>
</cp:coreProperties>
</file>