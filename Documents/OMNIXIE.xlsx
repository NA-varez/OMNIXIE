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21nic\OneDrive\Desktop\NIXIE\OMNIXIE\documents\"/>
    </mc:Choice>
  </mc:AlternateContent>
  <xr:revisionPtr revIDLastSave="0" documentId="13_ncr:1_{823886F0-014A-4EA9-9536-A5D7F09EDDD3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OM" sheetId="4" r:id="rId1"/>
    <sheet name="CH32V003F4U6 PIN FUNCTIONS" sheetId="1" r:id="rId2"/>
    <sheet name="COST ESTIMA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</calcChain>
</file>

<file path=xl/sharedStrings.xml><?xml version="1.0" encoding="utf-8"?>
<sst xmlns="http://schemas.openxmlformats.org/spreadsheetml/2006/main" count="175" uniqueCount="139">
  <si>
    <t>A: ADC, A7 (ADC_IN7)</t>
  </si>
  <si>
    <t>T: TIME, T2CH4 (TIM2_CH4)</t>
  </si>
  <si>
    <t>U: USART, URX (USART_RX)</t>
  </si>
  <si>
    <t>OP: OPA, OPO (OPA_OUT), OPP1 (OPA_P1)</t>
  </si>
  <si>
    <t>OSCI (OSCIN)</t>
  </si>
  <si>
    <t>OSCO (OSCOUT)</t>
  </si>
  <si>
    <t>SDA (I2C_SDA)</t>
  </si>
  <si>
    <t>SCL (I2C_SCL)</t>
  </si>
  <si>
    <t>SCK (SPI_SCK)</t>
  </si>
  <si>
    <t>NSS (SPI_NSS)</t>
  </si>
  <si>
    <t>MOSI (SPI_MOSI)</t>
  </si>
  <si>
    <t>MISO (SPI_MISO)</t>
  </si>
  <si>
    <t>PIN</t>
  </si>
  <si>
    <t>FUNCTIONS</t>
  </si>
  <si>
    <t>VSS</t>
  </si>
  <si>
    <t>VDD</t>
  </si>
  <si>
    <t>PD7</t>
  </si>
  <si>
    <t>NRST</t>
  </si>
  <si>
    <t>T2CH4</t>
  </si>
  <si>
    <t>OPP1</t>
  </si>
  <si>
    <t>UCK</t>
  </si>
  <si>
    <t>PA1</t>
  </si>
  <si>
    <t>OSCI</t>
  </si>
  <si>
    <t>A1</t>
  </si>
  <si>
    <t>T1CH2</t>
  </si>
  <si>
    <t>OPN0</t>
  </si>
  <si>
    <t>PA2</t>
  </si>
  <si>
    <t>OSCO</t>
  </si>
  <si>
    <t>A0</t>
  </si>
  <si>
    <t>T1CH2N</t>
  </si>
  <si>
    <t>OPP0</t>
  </si>
  <si>
    <t>AETR2</t>
  </si>
  <si>
    <t>PD0</t>
  </si>
  <si>
    <t>T1CH1N</t>
  </si>
  <si>
    <t>OPN1</t>
  </si>
  <si>
    <t>SDA</t>
  </si>
  <si>
    <t>UTX</t>
  </si>
  <si>
    <t>PC0</t>
  </si>
  <si>
    <t>T2CH3</t>
  </si>
  <si>
    <t>NSS</t>
  </si>
  <si>
    <t>T1CH3</t>
  </si>
  <si>
    <t>PC1</t>
  </si>
  <si>
    <t>T2CH1ETR</t>
  </si>
  <si>
    <t>T1BKIN</t>
  </si>
  <si>
    <t>URX</t>
  </si>
  <si>
    <t>PC2</t>
  </si>
  <si>
    <t>SCL</t>
  </si>
  <si>
    <t>URTS</t>
  </si>
  <si>
    <t>AETR</t>
  </si>
  <si>
    <t>T2CH2</t>
  </si>
  <si>
    <t>T1ETR</t>
  </si>
  <si>
    <t>PC3</t>
  </si>
  <si>
    <t>T1CHIN</t>
  </si>
  <si>
    <t>UCTS</t>
  </si>
  <si>
    <t>PC4</t>
  </si>
  <si>
    <t>A2</t>
  </si>
  <si>
    <t>T1CH4</t>
  </si>
  <si>
    <t>MCO</t>
  </si>
  <si>
    <t>T1CH1CH2N</t>
  </si>
  <si>
    <t>PC5</t>
  </si>
  <si>
    <t>SCK</t>
  </si>
  <si>
    <t>PC6</t>
  </si>
  <si>
    <t>MOSI</t>
  </si>
  <si>
    <t>T1CH1CH3</t>
  </si>
  <si>
    <t>PC7</t>
  </si>
  <si>
    <t>MISO</t>
  </si>
  <si>
    <t>PD1</t>
  </si>
  <si>
    <t>SWIO</t>
  </si>
  <si>
    <t>PD2</t>
  </si>
  <si>
    <t>A3</t>
  </si>
  <si>
    <t>T1CH1</t>
  </si>
  <si>
    <t>PD3</t>
  </si>
  <si>
    <t>A4</t>
  </si>
  <si>
    <t>PD4</t>
  </si>
  <si>
    <t>A7</t>
  </si>
  <si>
    <t>OPO</t>
  </si>
  <si>
    <t>T1CH4ETR</t>
  </si>
  <si>
    <t>PD5</t>
  </si>
  <si>
    <t>A5</t>
  </si>
  <si>
    <t>PD6</t>
  </si>
  <si>
    <t>PORT</t>
  </si>
  <si>
    <t>KEY</t>
  </si>
  <si>
    <t>AETR(ADC_ETR): ADC EXTRA</t>
  </si>
  <si>
    <t>PCBWay</t>
  </si>
  <si>
    <t>Stencil</t>
  </si>
  <si>
    <t>Shipping</t>
  </si>
  <si>
    <t>Total Cost</t>
  </si>
  <si>
    <t>JLCPCB</t>
  </si>
  <si>
    <t>OSHPARK</t>
  </si>
  <si>
    <t>OSHSTENCIL</t>
  </si>
  <si>
    <t>Qty 5 (1.25in x 0.75in)</t>
  </si>
  <si>
    <t>N/A</t>
  </si>
  <si>
    <t>ICs/Modules</t>
  </si>
  <si>
    <t>MPN</t>
  </si>
  <si>
    <t>Qty</t>
  </si>
  <si>
    <t>Description</t>
  </si>
  <si>
    <t>PI4IOE5V6416ZDEX</t>
  </si>
  <si>
    <t>CH32V003F4U6</t>
  </si>
  <si>
    <t>XC6206P332MR</t>
  </si>
  <si>
    <t>Categories</t>
  </si>
  <si>
    <t>USB4105-GF-A</t>
  </si>
  <si>
    <t>Connections</t>
  </si>
  <si>
    <t>SM04B-SRSS-TB</t>
  </si>
  <si>
    <t>Connector Header Surface Mount, Right Angle 4 position 0.039" (1.00mm)</t>
  </si>
  <si>
    <t>USB Connectors USB Type C,2.0, Rec,SMT, 0.95mmTH Shell Stakes,G/F,RA,Top Mnt,T&amp;R</t>
  </si>
  <si>
    <t>IC REG LINEAR 3.3V 200MA SOT23</t>
  </si>
  <si>
    <t>QingKe V2 Microprocessor</t>
  </si>
  <si>
    <t>I/O Expander 16 I2C 400 kHz 24-TQFN (4x4)</t>
  </si>
  <si>
    <t>Ref Des</t>
  </si>
  <si>
    <t xml:space="preserve">Test Plugs &amp; Test Jacks TEST POINT RED .063 </t>
  </si>
  <si>
    <t>Buy bulk from Adafruit</t>
  </si>
  <si>
    <t xml:space="preserve">IPN50R1K4CEATMA1 </t>
  </si>
  <si>
    <t xml:space="preserve">BSS131H6327XTSA1 </t>
  </si>
  <si>
    <t xml:space="preserve">MOSFETs N-Ch 240V 100mA SOT-23-3 </t>
  </si>
  <si>
    <t xml:space="preserve">ATB322515-0110 </t>
  </si>
  <si>
    <t xml:space="preserve">RK0971114D0B </t>
  </si>
  <si>
    <t>GAN190-650FBEZ</t>
  </si>
  <si>
    <t>770004-4</t>
  </si>
  <si>
    <t>02-09-1104</t>
  </si>
  <si>
    <t>IL-WX-16S-VF-B-E1000E</t>
  </si>
  <si>
    <t>IL-WX-16PB-VF-B-E1000E</t>
  </si>
  <si>
    <t>ATB3225-75011CT-T001</t>
  </si>
  <si>
    <t>SK3200AFL-TP</t>
  </si>
  <si>
    <t>1812B105K251CT</t>
  </si>
  <si>
    <t>Potentiometers Flat 15mm 10k</t>
  </si>
  <si>
    <t>Audio Transformers / Signal Transformers Photoflash Capacitor Charging Transforme</t>
  </si>
  <si>
    <t>GaN FETs SOT8075 650V 11.5A FET</t>
  </si>
  <si>
    <t>Coin Cell Battery Holders COIN CELL HOLDER 12MM</t>
  </si>
  <si>
    <t>MOSFETs CONSUMER</t>
  </si>
  <si>
    <t>Pin &amp; Socket Connectors SOCKET CONTACT</t>
  </si>
  <si>
    <t>Board to Board &amp; Mezzanine Connectors 16POS 0.8MM SMT</t>
  </si>
  <si>
    <t>Board to Board &amp; Mezzanine Connectors 0.8 mm pitch, SMT, parallel/ vertical, 16 pos., Pin header</t>
  </si>
  <si>
    <t>Ferrite Cores &amp; Accessories WE-OEFA LFS Oval Ferrite Core Oval; 25Ohms; 72Ohms Black AEC-Q200</t>
  </si>
  <si>
    <t>Audio Transformers / Signal Transformers 1:1 75ohms 5-200MHz 10dB</t>
  </si>
  <si>
    <t>Schottky Diodes &amp; Rectifiers 3A 200Vr 140Vrms 200V 80A 0.86Vf</t>
  </si>
  <si>
    <t>Multilayer Ceramic Capacitors MLCC - SMD/SMT 1812 MLCC X7R 1 uF, +/- 10% 250 V T&amp;R GP</t>
  </si>
  <si>
    <t>Interface - I/O Expanders Interface IO Expander</t>
  </si>
  <si>
    <t>Pin &amp; Socket Connectors CRIMP SKT BULK 14-20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</si>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</sst>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5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1" fillId="2" borderId="1" xfId="0" applyFont="1" applyFill="1" applyBorder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0" fontId="1" fillId="3" borderId="1" xfId="0" applyFont="1" applyFill="1" applyBorder="1" applyAlignment="1">
      <alignment horizontal="center"/>
    </xf>
    <xf numFmtId="0" fontId="2" fillId="4" borderId="17" xfId="0" applyFont="1" applyFill="1" applyBorder="1"/>
    <xf numFmtId="0" fontId="2" fillId="4" borderId="2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17" xfId="0" applyFont="1" applyFill="1" applyBorder="1"/>
    <xf numFmtId="0" fontId="2" fillId="5" borderId="2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19" xfId="0" applyFont="1" applyFill="1" applyBorder="1"/>
    <xf numFmtId="0" fontId="2" fillId="6" borderId="2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" fillId="7" borderId="17" xfId="0" applyFont="1" applyFill="1" applyBorder="1"/>
    <xf numFmtId="0" fontId="2" fillId="7" borderId="2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8" borderId="17" xfId="0" applyFont="1" applyFill="1" applyBorder="1"/>
    <xf numFmtId="0" fontId="2" fillId="8" borderId="6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0" fontId="1" fillId="0" borderId="0" xfId="0" applyFont="1"/>
    <xf numFmtId="44" fontId="1" fillId="0" borderId="0" xfId="1" applyFont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7" fillId="9" borderId="0" xfId="0" applyFont="1" applyFill="1"/>
    <xf numFmtId="0" fontId="0" fillId="0" borderId="0" xfId="0" applyAlignment="1">
      <alignment horizontal="center"/>
    </xf>
    <xf numFmtId="0" fontId="7" fillId="9" borderId="0" xfId="0" applyFont="1" applyFill="1" applyAlignment="1">
      <alignment horizontal="center"/>
    </xf>
    <xf numFmtId="0" fontId="0" fillId="0" borderId="0" xfId="0" applyFont="1"/>
    <xf numFmtId="0" fontId="0" fillId="0" borderId="0" xfId="0" applyAlignment="1">
      <alignment horizontal="left"/>
    </xf>
    <xf numFmtId="0" fontId="6" fillId="10" borderId="0" xfId="0" applyFont="1" applyFill="1"/>
    <xf numFmtId="0" fontId="0" fillId="11" borderId="0" xfId="0" applyFill="1"/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6" fillId="12" borderId="0" xfId="0" applyFont="1" applyFill="1"/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left"/>
    </xf>
    <xf numFmtId="0" fontId="0" fillId="13" borderId="0" xfId="0" applyFill="1"/>
    <xf numFmtId="0" fontId="0" fillId="13" borderId="0" xfId="0" applyFill="1" applyAlignment="1">
      <alignment horizontal="center"/>
    </xf>
    <xf numFmtId="0" fontId="0" fillId="13" borderId="0" xfId="0" applyFill="1" applyAlignment="1">
      <alignment horizontal="left"/>
    </xf>
    <xf numFmtId="0" fontId="5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19049</xdr:colOff>
      <xdr:row>1</xdr:row>
      <xdr:rowOff>23534</xdr:rowOff>
    </xdr:from>
    <xdr:to>
      <xdr:col>20</xdr:col>
      <xdr:colOff>194699</xdr:colOff>
      <xdr:row>20</xdr:row>
      <xdr:rowOff>144556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2696CC-7E01-2651-12E7-0C3D44868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39674" y="223559"/>
          <a:ext cx="5052450" cy="4662766"/>
        </a:xfrm>
        <a:prstGeom prst="rect">
          <a:avLst/>
        </a:prstGeom>
      </xdr:spPr>
    </xdr:pic>
    <xdr:clientData/>
  </xdr:twoCellAnchor>
  <xdr:twoCellAnchor editAs="oneCell">
    <xdr:from>
      <xdr:col>12</xdr:col>
      <xdr:colOff>19049</xdr:colOff>
      <xdr:row>20</xdr:row>
      <xdr:rowOff>65047</xdr:rowOff>
    </xdr:from>
    <xdr:to>
      <xdr:col>20</xdr:col>
      <xdr:colOff>188667</xdr:colOff>
      <xdr:row>43</xdr:row>
      <xdr:rowOff>133349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59B5C-BF5B-98E4-2106-5EF44729F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39674" y="4818022"/>
          <a:ext cx="5046418" cy="45545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76199</xdr:colOff>
      <xdr:row>11</xdr:row>
      <xdr:rowOff>73585</xdr:rowOff>
    </xdr:from>
    <xdr:to>
      <xdr:col>6</xdr:col>
      <xdr:colOff>39101</xdr:colOff>
      <xdr:row>26</xdr:row>
      <xdr:rowOff>172180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03CE6-AF2E-2161-CE66-52E8CFFF1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4" y="2359585"/>
          <a:ext cx="4125327" cy="3003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com/ProductDetail/Adafruit/3825?qs=%252BEew9%252B0nqrAn6n76%252BB5vZg%3D%3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7034E-99F6-4C64-9A78-788C06E81851}">
  <dimension ref="A3:H26"/>
  <sheetViews>
    <sheetView tabSelected="1" workbookViewId="0">
      <selection activeCell="A9" sqref="A9:E12"/>
    </sheetView>
  </sheetViews>
  <sheetFormatPr defaultRowHeight="15" x14ac:dyDescent="0.25"/>
  <cols>
    <col min="1" max="1" width="13.140625" bestFit="1" customWidth="1"/>
    <col min="2" max="2" width="13.140625" customWidth="1"/>
    <col min="3" max="3" width="23.140625" bestFit="1" customWidth="1"/>
    <col min="4" max="4" width="4.5703125" bestFit="1" customWidth="1"/>
    <col min="5" max="5" width="78.85546875" bestFit="1" customWidth="1"/>
  </cols>
  <sheetData>
    <row r="3" spans="1:8" ht="15.75" x14ac:dyDescent="0.25">
      <c r="A3" s="49" t="s">
        <v>99</v>
      </c>
      <c r="B3" s="49" t="s">
        <v>108</v>
      </c>
      <c r="C3" s="49" t="s">
        <v>93</v>
      </c>
      <c r="D3" s="47" t="s">
        <v>94</v>
      </c>
      <c r="E3" s="47" t="s">
        <v>95</v>
      </c>
    </row>
    <row r="4" spans="1:8" ht="15.75" x14ac:dyDescent="0.25">
      <c r="A4" s="52" t="s">
        <v>92</v>
      </c>
      <c r="B4" s="52"/>
      <c r="C4" s="56" t="s">
        <v>96</v>
      </c>
      <c r="D4" s="56">
        <v>1</v>
      </c>
      <c r="E4" s="57" t="s">
        <v>107</v>
      </c>
    </row>
    <row r="5" spans="1:8" x14ac:dyDescent="0.25">
      <c r="A5" s="53"/>
      <c r="B5" s="53"/>
      <c r="C5" s="54" t="s">
        <v>97</v>
      </c>
      <c r="D5" s="54">
        <v>1</v>
      </c>
      <c r="E5" s="55" t="s">
        <v>106</v>
      </c>
      <c r="G5" s="50"/>
    </row>
    <row r="6" spans="1:8" x14ac:dyDescent="0.25">
      <c r="A6" s="53"/>
      <c r="B6" s="53"/>
      <c r="C6" s="54" t="s">
        <v>98</v>
      </c>
      <c r="D6" s="54">
        <v>1</v>
      </c>
      <c r="E6" s="55" t="s">
        <v>105</v>
      </c>
      <c r="G6" s="50"/>
    </row>
    <row r="7" spans="1:8" s="53" customFormat="1" x14ac:dyDescent="0.25">
      <c r="C7" s="54" t="s">
        <v>96</v>
      </c>
      <c r="D7" s="54">
        <v>1</v>
      </c>
      <c r="E7" s="55" t="s">
        <v>136</v>
      </c>
    </row>
    <row r="8" spans="1:8" ht="15.75" x14ac:dyDescent="0.25">
      <c r="A8" s="58" t="s">
        <v>101</v>
      </c>
      <c r="B8" s="58"/>
      <c r="C8" s="59" t="s">
        <v>100</v>
      </c>
      <c r="D8" s="59">
        <v>1</v>
      </c>
      <c r="E8" s="60" t="s">
        <v>104</v>
      </c>
    </row>
    <row r="9" spans="1:8" x14ac:dyDescent="0.25">
      <c r="A9" s="61"/>
      <c r="B9" s="61"/>
      <c r="C9" s="62">
        <v>5005</v>
      </c>
      <c r="D9" s="62">
        <v>1</v>
      </c>
      <c r="E9" s="63" t="s">
        <v>109</v>
      </c>
      <c r="F9" t="s">
        <v>110</v>
      </c>
      <c r="H9" s="64">
        <v>3825</v>
      </c>
    </row>
    <row r="10" spans="1:8" x14ac:dyDescent="0.25">
      <c r="A10" s="61"/>
      <c r="B10" s="61"/>
      <c r="C10" s="62" t="s">
        <v>102</v>
      </c>
      <c r="D10" s="62">
        <v>2</v>
      </c>
      <c r="E10" s="63" t="s">
        <v>103</v>
      </c>
    </row>
    <row r="11" spans="1:8" x14ac:dyDescent="0.25">
      <c r="A11" s="61"/>
      <c r="B11" s="61"/>
      <c r="C11" s="62" t="s">
        <v>119</v>
      </c>
      <c r="D11" s="62">
        <v>1</v>
      </c>
      <c r="E11" s="63" t="s">
        <v>130</v>
      </c>
    </row>
    <row r="12" spans="1:8" x14ac:dyDescent="0.25">
      <c r="A12" s="61"/>
      <c r="B12" s="61"/>
      <c r="C12" s="62" t="s">
        <v>120</v>
      </c>
      <c r="D12" s="62">
        <v>1</v>
      </c>
      <c r="E12" s="63" t="s">
        <v>131</v>
      </c>
    </row>
    <row r="13" spans="1:8" x14ac:dyDescent="0.25">
      <c r="C13" s="48" t="s">
        <v>111</v>
      </c>
      <c r="D13" s="48">
        <v>1</v>
      </c>
      <c r="E13" s="51" t="s">
        <v>128</v>
      </c>
    </row>
    <row r="14" spans="1:8" x14ac:dyDescent="0.25">
      <c r="C14" s="48" t="s">
        <v>112</v>
      </c>
      <c r="D14" s="48">
        <v>12</v>
      </c>
      <c r="E14" s="51" t="s">
        <v>113</v>
      </c>
    </row>
    <row r="15" spans="1:8" x14ac:dyDescent="0.25">
      <c r="C15" s="48" t="s">
        <v>114</v>
      </c>
      <c r="D15" s="48">
        <v>1</v>
      </c>
      <c r="E15" s="51" t="s">
        <v>125</v>
      </c>
    </row>
    <row r="16" spans="1:8" x14ac:dyDescent="0.25">
      <c r="C16" s="48" t="s">
        <v>122</v>
      </c>
      <c r="D16" s="48">
        <v>1</v>
      </c>
      <c r="E16" s="51" t="s">
        <v>134</v>
      </c>
    </row>
    <row r="17" spans="3:5" x14ac:dyDescent="0.25">
      <c r="C17" s="48" t="s">
        <v>123</v>
      </c>
      <c r="D17" s="48" t="s">
        <v>138</v>
      </c>
      <c r="E17" s="51" t="s">
        <v>135</v>
      </c>
    </row>
    <row r="18" spans="3:5" x14ac:dyDescent="0.25">
      <c r="C18" s="48"/>
      <c r="D18" s="48"/>
      <c r="E18" s="51"/>
    </row>
    <row r="19" spans="3:5" x14ac:dyDescent="0.25">
      <c r="C19" s="48"/>
      <c r="D19" s="48"/>
      <c r="E19" s="51"/>
    </row>
    <row r="20" spans="3:5" x14ac:dyDescent="0.25">
      <c r="C20" s="48" t="s">
        <v>116</v>
      </c>
      <c r="D20" s="48">
        <v>10</v>
      </c>
      <c r="E20" s="51" t="s">
        <v>126</v>
      </c>
    </row>
    <row r="21" spans="3:5" x14ac:dyDescent="0.25">
      <c r="C21" s="48">
        <v>500</v>
      </c>
      <c r="D21" s="48">
        <v>1</v>
      </c>
      <c r="E21" s="51" t="s">
        <v>127</v>
      </c>
    </row>
    <row r="22" spans="3:5" x14ac:dyDescent="0.25">
      <c r="C22" s="48" t="s">
        <v>117</v>
      </c>
      <c r="D22" s="48">
        <v>12</v>
      </c>
      <c r="E22" s="51" t="s">
        <v>129</v>
      </c>
    </row>
    <row r="23" spans="3:5" x14ac:dyDescent="0.25">
      <c r="C23" s="48" t="s">
        <v>118</v>
      </c>
      <c r="D23" s="48">
        <v>12</v>
      </c>
      <c r="E23" s="51" t="s">
        <v>137</v>
      </c>
    </row>
    <row r="24" spans="3:5" x14ac:dyDescent="0.25">
      <c r="C24" s="48" t="s">
        <v>121</v>
      </c>
      <c r="D24" s="48">
        <v>1</v>
      </c>
      <c r="E24" s="51" t="s">
        <v>133</v>
      </c>
    </row>
    <row r="25" spans="3:5" x14ac:dyDescent="0.25">
      <c r="C25" s="48">
        <v>78201465351</v>
      </c>
      <c r="D25" s="48">
        <v>1</v>
      </c>
      <c r="E25" s="51" t="s">
        <v>132</v>
      </c>
    </row>
    <row r="26" spans="3:5" x14ac:dyDescent="0.25">
      <c r="C26" s="48" t="s">
        <v>115</v>
      </c>
      <c r="D26" s="48">
        <v>2</v>
      </c>
      <c r="E26" s="51" t="s">
        <v>124</v>
      </c>
    </row>
  </sheetData>
  <hyperlinks>
    <hyperlink ref="H9" r:id="rId1" display="https://www.mouser.com/ProductDetail/Adafruit/3825?qs=%252BEew9%252B0nqrAn6n76%252BB5vZg%3D%3D" xr:uid="{75C6313B-28DC-4A41-961A-B038562B2C7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2"/>
  <sheetViews>
    <sheetView zoomScaleNormal="100" workbookViewId="0">
      <selection activeCell="G14" sqref="G14"/>
    </sheetView>
  </sheetViews>
  <sheetFormatPr defaultRowHeight="15" x14ac:dyDescent="0.25"/>
  <cols>
    <col min="2" max="2" width="42.28515625" bestFit="1" customWidth="1"/>
    <col min="4" max="4" width="5.28515625" bestFit="1" customWidth="1"/>
    <col min="5" max="5" width="10.5703125" customWidth="1"/>
    <col min="6" max="11" width="17.28515625" customWidth="1"/>
  </cols>
  <sheetData>
    <row r="1" spans="2:11" ht="15.75" thickBot="1" x14ac:dyDescent="0.3"/>
    <row r="2" spans="2:11" ht="19.5" thickBot="1" x14ac:dyDescent="0.35">
      <c r="B2" s="19" t="s">
        <v>81</v>
      </c>
      <c r="D2" s="12" t="s">
        <v>12</v>
      </c>
      <c r="E2" s="16" t="s">
        <v>80</v>
      </c>
      <c r="F2" s="44" t="s">
        <v>13</v>
      </c>
      <c r="G2" s="45"/>
      <c r="H2" s="45"/>
      <c r="I2" s="45"/>
      <c r="J2" s="45"/>
      <c r="K2" s="46"/>
    </row>
    <row r="3" spans="2:11" ht="18.75" x14ac:dyDescent="0.3">
      <c r="B3" s="26" t="s">
        <v>0</v>
      </c>
      <c r="D3" s="13">
        <v>1</v>
      </c>
      <c r="E3" s="9" t="s">
        <v>16</v>
      </c>
      <c r="F3" s="7" t="s">
        <v>17</v>
      </c>
      <c r="G3" s="36" t="s">
        <v>18</v>
      </c>
      <c r="H3" s="5" t="s">
        <v>19</v>
      </c>
      <c r="I3" s="5" t="s">
        <v>20</v>
      </c>
      <c r="J3" s="5"/>
      <c r="K3" s="6"/>
    </row>
    <row r="4" spans="2:11" ht="18.75" x14ac:dyDescent="0.3">
      <c r="B4" s="34" t="s">
        <v>1</v>
      </c>
      <c r="D4" s="14">
        <v>2</v>
      </c>
      <c r="E4" s="10" t="s">
        <v>21</v>
      </c>
      <c r="F4" s="8" t="s">
        <v>22</v>
      </c>
      <c r="G4" s="27" t="s">
        <v>23</v>
      </c>
      <c r="H4" s="37" t="s">
        <v>24</v>
      </c>
      <c r="I4" s="1" t="s">
        <v>25</v>
      </c>
      <c r="J4" s="1"/>
      <c r="K4" s="2"/>
    </row>
    <row r="5" spans="2:11" ht="18.75" x14ac:dyDescent="0.3">
      <c r="B5" s="30" t="s">
        <v>2</v>
      </c>
      <c r="D5" s="14">
        <v>3</v>
      </c>
      <c r="E5" s="10" t="s">
        <v>26</v>
      </c>
      <c r="F5" s="8" t="s">
        <v>27</v>
      </c>
      <c r="G5" s="27" t="s">
        <v>28</v>
      </c>
      <c r="H5" s="1" t="s">
        <v>29</v>
      </c>
      <c r="I5" s="1" t="s">
        <v>30</v>
      </c>
      <c r="J5" s="1" t="s">
        <v>31</v>
      </c>
      <c r="K5" s="2"/>
    </row>
    <row r="6" spans="2:11" ht="18.75" x14ac:dyDescent="0.3">
      <c r="B6" s="17" t="s">
        <v>3</v>
      </c>
      <c r="D6" s="14">
        <v>4</v>
      </c>
      <c r="E6" s="10" t="s">
        <v>14</v>
      </c>
      <c r="F6" s="8"/>
      <c r="G6" s="1"/>
      <c r="H6" s="1"/>
      <c r="I6" s="1"/>
      <c r="J6" s="1"/>
      <c r="K6" s="2"/>
    </row>
    <row r="7" spans="2:11" ht="18.75" x14ac:dyDescent="0.3">
      <c r="B7" s="17" t="s">
        <v>4</v>
      </c>
      <c r="D7" s="14">
        <v>5</v>
      </c>
      <c r="E7" s="10" t="s">
        <v>32</v>
      </c>
      <c r="F7" s="8" t="s">
        <v>33</v>
      </c>
      <c r="G7" s="1" t="s">
        <v>34</v>
      </c>
      <c r="H7" s="21" t="s">
        <v>35</v>
      </c>
      <c r="I7" s="31" t="s">
        <v>36</v>
      </c>
      <c r="J7" s="1"/>
      <c r="K7" s="2"/>
    </row>
    <row r="8" spans="2:11" ht="18.75" x14ac:dyDescent="0.3">
      <c r="B8" s="17" t="s">
        <v>5</v>
      </c>
      <c r="D8" s="14">
        <v>6</v>
      </c>
      <c r="E8" s="10" t="s">
        <v>15</v>
      </c>
      <c r="F8" s="8"/>
      <c r="G8" s="1"/>
      <c r="H8" s="1"/>
      <c r="I8" s="1"/>
      <c r="J8" s="1"/>
      <c r="K8" s="2"/>
    </row>
    <row r="9" spans="2:11" ht="18.75" x14ac:dyDescent="0.3">
      <c r="B9" s="20" t="s">
        <v>6</v>
      </c>
      <c r="D9" s="14">
        <v>7</v>
      </c>
      <c r="E9" s="10" t="s">
        <v>37</v>
      </c>
      <c r="F9" s="35" t="s">
        <v>38</v>
      </c>
      <c r="G9" s="31" t="s">
        <v>36</v>
      </c>
      <c r="H9" s="24" t="s">
        <v>39</v>
      </c>
      <c r="I9" s="37" t="s">
        <v>40</v>
      </c>
      <c r="J9" s="1"/>
      <c r="K9" s="2"/>
    </row>
    <row r="10" spans="2:11" ht="18.75" x14ac:dyDescent="0.3">
      <c r="B10" s="20" t="s">
        <v>7</v>
      </c>
      <c r="D10" s="14">
        <v>8</v>
      </c>
      <c r="E10" s="10" t="s">
        <v>41</v>
      </c>
      <c r="F10" s="22" t="s">
        <v>35</v>
      </c>
      <c r="G10" s="24" t="s">
        <v>39</v>
      </c>
      <c r="H10" s="37" t="s">
        <v>18</v>
      </c>
      <c r="I10" s="1" t="s">
        <v>42</v>
      </c>
      <c r="J10" s="1" t="s">
        <v>43</v>
      </c>
      <c r="K10" s="33" t="s">
        <v>44</v>
      </c>
    </row>
    <row r="11" spans="2:11" ht="18.75" x14ac:dyDescent="0.3">
      <c r="B11" s="23" t="s">
        <v>8</v>
      </c>
      <c r="D11" s="14">
        <v>9</v>
      </c>
      <c r="E11" s="10" t="s">
        <v>45</v>
      </c>
      <c r="F11" s="22" t="s">
        <v>46</v>
      </c>
      <c r="G11" s="31" t="s">
        <v>47</v>
      </c>
      <c r="H11" s="1" t="s">
        <v>43</v>
      </c>
      <c r="I11" s="1" t="s">
        <v>48</v>
      </c>
      <c r="J11" s="37" t="s">
        <v>49</v>
      </c>
      <c r="K11" s="2" t="s">
        <v>50</v>
      </c>
    </row>
    <row r="12" spans="2:11" ht="18.75" x14ac:dyDescent="0.3">
      <c r="B12" s="23" t="s">
        <v>9</v>
      </c>
      <c r="D12" s="14">
        <v>10</v>
      </c>
      <c r="E12" s="10" t="s">
        <v>51</v>
      </c>
      <c r="F12" s="35" t="s">
        <v>40</v>
      </c>
      <c r="G12" s="1" t="s">
        <v>52</v>
      </c>
      <c r="H12" s="31" t="s">
        <v>53</v>
      </c>
      <c r="I12" s="1"/>
      <c r="J12" s="1"/>
      <c r="K12" s="2"/>
    </row>
    <row r="13" spans="2:11" ht="18.75" x14ac:dyDescent="0.3">
      <c r="B13" s="23" t="s">
        <v>10</v>
      </c>
      <c r="D13" s="14">
        <v>11</v>
      </c>
      <c r="E13" s="10" t="s">
        <v>54</v>
      </c>
      <c r="F13" s="28" t="s">
        <v>55</v>
      </c>
      <c r="G13" s="37" t="s">
        <v>56</v>
      </c>
      <c r="H13" s="1" t="s">
        <v>57</v>
      </c>
      <c r="I13" s="1" t="s">
        <v>58</v>
      </c>
      <c r="J13" s="1"/>
      <c r="K13" s="2"/>
    </row>
    <row r="14" spans="2:11" ht="18.75" x14ac:dyDescent="0.3">
      <c r="B14" s="23" t="s">
        <v>11</v>
      </c>
      <c r="D14" s="14">
        <v>12</v>
      </c>
      <c r="E14" s="10" t="s">
        <v>59</v>
      </c>
      <c r="F14" s="25" t="s">
        <v>60</v>
      </c>
      <c r="G14" s="1" t="s">
        <v>50</v>
      </c>
      <c r="H14" s="1" t="s">
        <v>42</v>
      </c>
      <c r="I14" s="21" t="s">
        <v>46</v>
      </c>
      <c r="J14" s="1" t="s">
        <v>20</v>
      </c>
      <c r="K14" s="38" t="s">
        <v>40</v>
      </c>
    </row>
    <row r="15" spans="2:11" ht="19.5" thickBot="1" x14ac:dyDescent="0.35">
      <c r="B15" s="18" t="s">
        <v>82</v>
      </c>
      <c r="D15" s="14">
        <v>13</v>
      </c>
      <c r="E15" s="10" t="s">
        <v>61</v>
      </c>
      <c r="F15" s="25" t="s">
        <v>62</v>
      </c>
      <c r="G15" s="37" t="s">
        <v>63</v>
      </c>
      <c r="H15" s="31" t="s">
        <v>53</v>
      </c>
      <c r="I15" s="21" t="s">
        <v>35</v>
      </c>
      <c r="J15" s="1"/>
      <c r="K15" s="2"/>
    </row>
    <row r="16" spans="2:11" ht="18.75" x14ac:dyDescent="0.3">
      <c r="D16" s="14">
        <v>14</v>
      </c>
      <c r="E16" s="10" t="s">
        <v>64</v>
      </c>
      <c r="F16" s="25" t="s">
        <v>65</v>
      </c>
      <c r="G16" s="37" t="s">
        <v>24</v>
      </c>
      <c r="H16" s="37" t="s">
        <v>49</v>
      </c>
      <c r="I16" s="31" t="s">
        <v>47</v>
      </c>
      <c r="J16" s="1"/>
      <c r="K16" s="2"/>
    </row>
    <row r="17" spans="4:11" ht="18.75" x14ac:dyDescent="0.3">
      <c r="D17" s="14">
        <v>15</v>
      </c>
      <c r="E17" s="10" t="s">
        <v>66</v>
      </c>
      <c r="F17" s="8" t="s">
        <v>67</v>
      </c>
      <c r="G17" s="1" t="s">
        <v>48</v>
      </c>
      <c r="H17" s="37" t="s">
        <v>40</v>
      </c>
      <c r="I17" s="21" t="s">
        <v>46</v>
      </c>
      <c r="J17" s="31" t="s">
        <v>44</v>
      </c>
      <c r="K17" s="2"/>
    </row>
    <row r="18" spans="4:11" ht="18.75" x14ac:dyDescent="0.3">
      <c r="D18" s="14">
        <v>16</v>
      </c>
      <c r="E18" s="10" t="s">
        <v>68</v>
      </c>
      <c r="F18" s="28" t="s">
        <v>69</v>
      </c>
      <c r="G18" s="37" t="s">
        <v>70</v>
      </c>
      <c r="H18" s="37" t="s">
        <v>38</v>
      </c>
      <c r="I18" s="1" t="s">
        <v>29</v>
      </c>
      <c r="J18" s="1"/>
      <c r="K18" s="2"/>
    </row>
    <row r="19" spans="4:11" ht="18.75" x14ac:dyDescent="0.3">
      <c r="D19" s="14">
        <v>17</v>
      </c>
      <c r="E19" s="10" t="s">
        <v>71</v>
      </c>
      <c r="F19" s="28" t="s">
        <v>72</v>
      </c>
      <c r="G19" s="37" t="s">
        <v>49</v>
      </c>
      <c r="H19" s="1" t="s">
        <v>48</v>
      </c>
      <c r="I19" s="31" t="s">
        <v>53</v>
      </c>
      <c r="J19" s="37" t="s">
        <v>56</v>
      </c>
      <c r="K19" s="2"/>
    </row>
    <row r="20" spans="4:11" ht="18.75" x14ac:dyDescent="0.3">
      <c r="D20" s="14">
        <v>18</v>
      </c>
      <c r="E20" s="10" t="s">
        <v>73</v>
      </c>
      <c r="F20" s="28" t="s">
        <v>74</v>
      </c>
      <c r="G20" s="1" t="s">
        <v>20</v>
      </c>
      <c r="H20" s="1" t="s">
        <v>42</v>
      </c>
      <c r="I20" s="1" t="s">
        <v>75</v>
      </c>
      <c r="J20" s="1" t="s">
        <v>76</v>
      </c>
      <c r="K20" s="2"/>
    </row>
    <row r="21" spans="4:11" ht="18.75" x14ac:dyDescent="0.3">
      <c r="D21" s="14">
        <v>19</v>
      </c>
      <c r="E21" s="10" t="s">
        <v>77</v>
      </c>
      <c r="F21" s="28" t="s">
        <v>78</v>
      </c>
      <c r="G21" s="31" t="s">
        <v>36</v>
      </c>
      <c r="H21" s="37" t="s">
        <v>18</v>
      </c>
      <c r="I21" s="31" t="s">
        <v>44</v>
      </c>
      <c r="J21" s="1"/>
      <c r="K21" s="2"/>
    </row>
    <row r="22" spans="4:11" ht="19.5" thickBot="1" x14ac:dyDescent="0.35">
      <c r="D22" s="15">
        <v>20</v>
      </c>
      <c r="E22" s="11" t="s">
        <v>79</v>
      </c>
      <c r="F22" s="29" t="s">
        <v>74</v>
      </c>
      <c r="G22" s="32" t="s">
        <v>44</v>
      </c>
      <c r="H22" s="39" t="s">
        <v>38</v>
      </c>
      <c r="I22" s="32" t="s">
        <v>36</v>
      </c>
      <c r="J22" s="3"/>
      <c r="K22" s="4"/>
    </row>
  </sheetData>
  <mergeCells count="1">
    <mergeCell ref="F2:K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52D2-7558-455D-94BF-A1AB4EDE4282}">
  <dimension ref="B2:F12"/>
  <sheetViews>
    <sheetView workbookViewId="0">
      <selection activeCell="I30" sqref="I30"/>
    </sheetView>
  </sheetViews>
  <sheetFormatPr defaultRowHeight="15" x14ac:dyDescent="0.25"/>
  <cols>
    <col min="2" max="2" width="15.28515625" bestFit="1" customWidth="1"/>
    <col min="3" max="3" width="10.140625" customWidth="1"/>
    <col min="4" max="4" width="28.7109375" bestFit="1" customWidth="1"/>
    <col min="5" max="5" width="11" bestFit="1" customWidth="1"/>
    <col min="6" max="6" width="12.5703125" bestFit="1" customWidth="1"/>
  </cols>
  <sheetData>
    <row r="2" spans="2:6" ht="18.75" x14ac:dyDescent="0.3">
      <c r="C2" s="43" t="s">
        <v>84</v>
      </c>
      <c r="D2" s="43" t="s">
        <v>90</v>
      </c>
      <c r="E2" s="43" t="s">
        <v>85</v>
      </c>
      <c r="F2" s="43" t="s">
        <v>86</v>
      </c>
    </row>
    <row r="3" spans="2:6" ht="18.75" x14ac:dyDescent="0.3">
      <c r="B3" s="42" t="s">
        <v>83</v>
      </c>
      <c r="C3" s="40">
        <v>10</v>
      </c>
      <c r="D3" s="40">
        <v>5</v>
      </c>
      <c r="E3" s="40">
        <v>24.15</v>
      </c>
      <c r="F3" s="40">
        <f>SUM(C3:E3)</f>
        <v>39.15</v>
      </c>
    </row>
    <row r="4" spans="2:6" x14ac:dyDescent="0.25">
      <c r="C4" s="40"/>
      <c r="D4" s="40"/>
    </row>
    <row r="5" spans="2:6" x14ac:dyDescent="0.25">
      <c r="C5" s="40"/>
      <c r="D5" s="40"/>
    </row>
    <row r="6" spans="2:6" x14ac:dyDescent="0.25">
      <c r="C6" s="40"/>
      <c r="D6" s="40"/>
    </row>
    <row r="7" spans="2:6" ht="18.75" x14ac:dyDescent="0.3">
      <c r="B7" s="42" t="s">
        <v>87</v>
      </c>
      <c r="C7" s="40">
        <v>7</v>
      </c>
      <c r="D7" s="40">
        <v>2</v>
      </c>
      <c r="E7" s="40">
        <v>42.66</v>
      </c>
      <c r="F7" s="40">
        <v>60</v>
      </c>
    </row>
    <row r="8" spans="2:6" x14ac:dyDescent="0.25">
      <c r="C8" s="40"/>
      <c r="D8" s="40"/>
    </row>
    <row r="9" spans="2:6" x14ac:dyDescent="0.25">
      <c r="C9" s="40"/>
      <c r="D9" s="40"/>
    </row>
    <row r="11" spans="2:6" ht="18.75" x14ac:dyDescent="0.3">
      <c r="B11" s="42" t="s">
        <v>88</v>
      </c>
      <c r="C11" t="s">
        <v>91</v>
      </c>
      <c r="D11" s="41">
        <v>7.5</v>
      </c>
    </row>
    <row r="12" spans="2:6" ht="18.75" x14ac:dyDescent="0.3">
      <c r="B12" s="42" t="s">
        <v>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</vt:lpstr>
      <vt:lpstr>CH32V003F4U6 PIN FUNCTIONS</vt:lpstr>
      <vt:lpstr>COST ESTIMATES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Alvarez</dc:creator>
  <cp:lastModifiedBy>Nicolas Alvarez</cp:lastModifiedBy>
  <dcterms:created xsi:type="dcterms:W3CDTF">2015-06-05T18:17:20Z</dcterms:created>
  <dcterms:modified xsi:type="dcterms:W3CDTF">2025-12-08T03:36:06Z</dcterms:modified>
</cp:coreProperties>
</file>